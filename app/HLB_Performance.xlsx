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Freelance\HLB_Performance\HLB_Performance_FastAPI\app\"/>
    </mc:Choice>
  </mc:AlternateContent>
  <xr:revisionPtr revIDLastSave="0" documentId="13_ncr:1_{061BB4BC-04CC-4827-890F-E3E8B5D0D4FA}" xr6:coauthVersionLast="47" xr6:coauthVersionMax="47" xr10:uidLastSave="{00000000-0000-0000-0000-000000000000}"/>
  <bookViews>
    <workbookView xWindow="-110" yWindow="-110" windowWidth="19420" windowHeight="10300" activeTab="2" xr2:uid="{00000000-000D-0000-FFFF-FFFF00000000}"/>
  </bookViews>
  <sheets>
    <sheet name="Lists" sheetId="1" r:id="rId1"/>
    <sheet name="KPI_Definitions" sheetId="2" r:id="rId2"/>
    <sheet name="Employees" sheetId="7" r:id="rId3"/>
    <sheet name="Entries" sheetId="3" r:id="rId4"/>
    <sheet name="Summary" sheetId="4" r:id="rId5"/>
    <sheet name="Dashboard" sheetId="5" r:id="rId6"/>
    <sheet name="Instruction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4" l="1"/>
  <c r="L2" i="3"/>
  <c r="L3" i="3"/>
  <c r="L4" i="3"/>
  <c r="L5" i="3"/>
  <c r="L6" i="3"/>
  <c r="L7" i="3"/>
  <c r="L8" i="3"/>
  <c r="L9" i="3"/>
  <c r="L10" i="3"/>
  <c r="L11" i="3"/>
  <c r="L12" i="3"/>
  <c r="L13" i="3"/>
  <c r="L14" i="3"/>
  <c r="L15" i="3"/>
  <c r="L16" i="3"/>
  <c r="L17" i="3"/>
  <c r="K2" i="3"/>
  <c r="K3" i="3"/>
  <c r="K4" i="3"/>
  <c r="K5" i="3"/>
  <c r="K6" i="3"/>
  <c r="K7" i="3"/>
  <c r="K8" i="3"/>
  <c r="K9" i="3"/>
  <c r="K10" i="3"/>
  <c r="K11" i="3"/>
  <c r="K12" i="3"/>
  <c r="K13" i="3"/>
  <c r="K14" i="3"/>
  <c r="K15" i="3"/>
  <c r="K16" i="3"/>
  <c r="K17" i="3"/>
  <c r="J2" i="3"/>
  <c r="J3" i="3"/>
  <c r="J4" i="3"/>
  <c r="J5" i="3"/>
  <c r="J6" i="3"/>
  <c r="J7" i="3"/>
  <c r="J8" i="3"/>
  <c r="J9" i="3"/>
  <c r="J10" i="3"/>
  <c r="J11" i="3"/>
  <c r="J12" i="3"/>
  <c r="J13" i="3"/>
  <c r="J14" i="3"/>
  <c r="J15" i="3"/>
  <c r="J16" i="3"/>
  <c r="J17" i="3"/>
  <c r="I2" i="3"/>
  <c r="I3" i="3"/>
  <c r="I4" i="3"/>
  <c r="I5" i="3"/>
  <c r="I6" i="3"/>
  <c r="I7" i="3"/>
  <c r="I8" i="3"/>
  <c r="I9" i="3"/>
  <c r="I10" i="3"/>
  <c r="I11" i="3"/>
  <c r="I12" i="3"/>
  <c r="I13" i="3"/>
  <c r="I14" i="3"/>
  <c r="I15" i="3"/>
  <c r="I16" i="3"/>
  <c r="I17" i="3"/>
  <c r="H2" i="3"/>
  <c r="H3" i="3"/>
  <c r="H4" i="3"/>
  <c r="H5" i="3"/>
  <c r="H6" i="3"/>
  <c r="H7" i="3"/>
  <c r="H8" i="3"/>
  <c r="H9" i="3"/>
  <c r="H10" i="3"/>
  <c r="H11" i="3"/>
  <c r="H12" i="3"/>
  <c r="H13" i="3"/>
  <c r="H14" i="3"/>
  <c r="H15" i="3"/>
  <c r="H16" i="3"/>
  <c r="H17" i="3"/>
  <c r="E3" i="5"/>
  <c r="B3" i="5"/>
  <c r="I102" i="4"/>
  <c r="H102" i="4"/>
  <c r="G102" i="4"/>
  <c r="F102" i="4"/>
  <c r="E102" i="4"/>
  <c r="D102" i="4"/>
  <c r="B102" i="4"/>
  <c r="C102" i="4" s="1"/>
  <c r="I101" i="4"/>
  <c r="H101" i="4"/>
  <c r="G101" i="4"/>
  <c r="F101" i="4"/>
  <c r="E101" i="4"/>
  <c r="D101" i="4"/>
  <c r="B101" i="4"/>
  <c r="C101" i="4" s="1"/>
  <c r="I100" i="4"/>
  <c r="H100" i="4"/>
  <c r="G100" i="4"/>
  <c r="F100" i="4"/>
  <c r="E100" i="4"/>
  <c r="D100" i="4"/>
  <c r="B100" i="4"/>
  <c r="C100" i="4" s="1"/>
  <c r="I99" i="4"/>
  <c r="H99" i="4"/>
  <c r="G99" i="4"/>
  <c r="F99" i="4"/>
  <c r="E99" i="4"/>
  <c r="D99" i="4"/>
  <c r="B99" i="4"/>
  <c r="C99" i="4" s="1"/>
  <c r="I98" i="4"/>
  <c r="H98" i="4"/>
  <c r="G98" i="4"/>
  <c r="F98" i="4"/>
  <c r="E98" i="4"/>
  <c r="D98" i="4"/>
  <c r="B98" i="4"/>
  <c r="C98" i="4" s="1"/>
  <c r="I97" i="4"/>
  <c r="H97" i="4"/>
  <c r="G97" i="4"/>
  <c r="F97" i="4"/>
  <c r="E97" i="4"/>
  <c r="D97" i="4"/>
  <c r="B97" i="4"/>
  <c r="C97" i="4" s="1"/>
  <c r="I96" i="4"/>
  <c r="H96" i="4"/>
  <c r="G96" i="4"/>
  <c r="F96" i="4"/>
  <c r="E96" i="4"/>
  <c r="D96" i="4"/>
  <c r="B96" i="4"/>
  <c r="C96" i="4" s="1"/>
  <c r="I95" i="4"/>
  <c r="H95" i="4"/>
  <c r="G95" i="4"/>
  <c r="F95" i="4"/>
  <c r="E95" i="4"/>
  <c r="D95" i="4"/>
  <c r="B95" i="4"/>
  <c r="C95" i="4" s="1"/>
  <c r="I94" i="4"/>
  <c r="H94" i="4"/>
  <c r="G94" i="4"/>
  <c r="F94" i="4"/>
  <c r="E94" i="4"/>
  <c r="D94" i="4"/>
  <c r="B94" i="4"/>
  <c r="C94" i="4" s="1"/>
  <c r="I93" i="4"/>
  <c r="H93" i="4"/>
  <c r="G93" i="4"/>
  <c r="F93" i="4"/>
  <c r="E93" i="4"/>
  <c r="D93" i="4"/>
  <c r="B93" i="4"/>
  <c r="C93" i="4" s="1"/>
  <c r="I92" i="4"/>
  <c r="H92" i="4"/>
  <c r="G92" i="4"/>
  <c r="F92" i="4"/>
  <c r="E92" i="4"/>
  <c r="D92" i="4"/>
  <c r="B92" i="4"/>
  <c r="C92" i="4" s="1"/>
  <c r="I91" i="4"/>
  <c r="H91" i="4"/>
  <c r="G91" i="4"/>
  <c r="F91" i="4"/>
  <c r="E91" i="4"/>
  <c r="D91" i="4"/>
  <c r="B91" i="4"/>
  <c r="C91" i="4" s="1"/>
  <c r="I90" i="4"/>
  <c r="H90" i="4"/>
  <c r="G90" i="4"/>
  <c r="F90" i="4"/>
  <c r="E90" i="4"/>
  <c r="D90" i="4"/>
  <c r="B90" i="4"/>
  <c r="C90" i="4" s="1"/>
  <c r="I89" i="4"/>
  <c r="H89" i="4"/>
  <c r="G89" i="4"/>
  <c r="F89" i="4"/>
  <c r="E89" i="4"/>
  <c r="D89" i="4"/>
  <c r="B89" i="4"/>
  <c r="C89" i="4" s="1"/>
  <c r="I88" i="4"/>
  <c r="H88" i="4"/>
  <c r="G88" i="4"/>
  <c r="F88" i="4"/>
  <c r="E88" i="4"/>
  <c r="D88" i="4"/>
  <c r="B88" i="4"/>
  <c r="C88" i="4" s="1"/>
  <c r="I87" i="4"/>
  <c r="H87" i="4"/>
  <c r="G87" i="4"/>
  <c r="F87" i="4"/>
  <c r="E87" i="4"/>
  <c r="D87" i="4"/>
  <c r="B87" i="4"/>
  <c r="C87" i="4" s="1"/>
  <c r="I86" i="4"/>
  <c r="H86" i="4"/>
  <c r="G86" i="4"/>
  <c r="F86" i="4"/>
  <c r="E86" i="4"/>
  <c r="D86" i="4"/>
  <c r="B86" i="4"/>
  <c r="C86" i="4" s="1"/>
  <c r="I85" i="4"/>
  <c r="H85" i="4"/>
  <c r="G85" i="4"/>
  <c r="F85" i="4"/>
  <c r="E85" i="4"/>
  <c r="D85" i="4"/>
  <c r="B85" i="4"/>
  <c r="C85" i="4" s="1"/>
  <c r="I84" i="4"/>
  <c r="H84" i="4"/>
  <c r="G84" i="4"/>
  <c r="F84" i="4"/>
  <c r="E84" i="4"/>
  <c r="D84" i="4"/>
  <c r="B84" i="4"/>
  <c r="C84" i="4" s="1"/>
  <c r="I83" i="4"/>
  <c r="H83" i="4"/>
  <c r="G83" i="4"/>
  <c r="F83" i="4"/>
  <c r="E83" i="4"/>
  <c r="D83" i="4"/>
  <c r="B83" i="4"/>
  <c r="C83" i="4" s="1"/>
  <c r="I82" i="4"/>
  <c r="H82" i="4"/>
  <c r="G82" i="4"/>
  <c r="F82" i="4"/>
  <c r="E82" i="4"/>
  <c r="D82" i="4"/>
  <c r="B82" i="4"/>
  <c r="C82" i="4" s="1"/>
  <c r="I81" i="4"/>
  <c r="H81" i="4"/>
  <c r="G81" i="4"/>
  <c r="F81" i="4"/>
  <c r="E81" i="4"/>
  <c r="D81" i="4"/>
  <c r="B81" i="4"/>
  <c r="C81" i="4" s="1"/>
  <c r="I80" i="4"/>
  <c r="H80" i="4"/>
  <c r="G80" i="4"/>
  <c r="F80" i="4"/>
  <c r="E80" i="4"/>
  <c r="D80" i="4"/>
  <c r="B80" i="4"/>
  <c r="C80" i="4" s="1"/>
  <c r="I79" i="4"/>
  <c r="H79" i="4"/>
  <c r="G79" i="4"/>
  <c r="F79" i="4"/>
  <c r="E79" i="4"/>
  <c r="D79" i="4"/>
  <c r="B79" i="4"/>
  <c r="C79" i="4" s="1"/>
  <c r="I78" i="4"/>
  <c r="H78" i="4"/>
  <c r="G78" i="4"/>
  <c r="F78" i="4"/>
  <c r="E78" i="4"/>
  <c r="D78" i="4"/>
  <c r="B78" i="4"/>
  <c r="C78" i="4" s="1"/>
  <c r="I77" i="4"/>
  <c r="H77" i="4"/>
  <c r="G77" i="4"/>
  <c r="F77" i="4"/>
  <c r="E77" i="4"/>
  <c r="D77" i="4"/>
  <c r="B77" i="4"/>
  <c r="C77" i="4" s="1"/>
  <c r="I76" i="4"/>
  <c r="H76" i="4"/>
  <c r="G76" i="4"/>
  <c r="F76" i="4"/>
  <c r="E76" i="4"/>
  <c r="D76" i="4"/>
  <c r="B76" i="4"/>
  <c r="C76" i="4" s="1"/>
  <c r="I75" i="4"/>
  <c r="H75" i="4"/>
  <c r="G75" i="4"/>
  <c r="F75" i="4"/>
  <c r="E75" i="4"/>
  <c r="D75" i="4"/>
  <c r="B75" i="4"/>
  <c r="C75" i="4" s="1"/>
  <c r="I74" i="4"/>
  <c r="H74" i="4"/>
  <c r="G74" i="4"/>
  <c r="F74" i="4"/>
  <c r="E74" i="4"/>
  <c r="D74" i="4"/>
  <c r="B74" i="4"/>
  <c r="C74" i="4" s="1"/>
  <c r="I73" i="4"/>
  <c r="H73" i="4"/>
  <c r="G73" i="4"/>
  <c r="F73" i="4"/>
  <c r="E73" i="4"/>
  <c r="D73" i="4"/>
  <c r="B73" i="4"/>
  <c r="C73" i="4" s="1"/>
  <c r="I72" i="4"/>
  <c r="H72" i="4"/>
  <c r="G72" i="4"/>
  <c r="F72" i="4"/>
  <c r="E72" i="4"/>
  <c r="D72" i="4"/>
  <c r="B72" i="4"/>
  <c r="C72" i="4" s="1"/>
  <c r="I71" i="4"/>
  <c r="H71" i="4"/>
  <c r="G71" i="4"/>
  <c r="F71" i="4"/>
  <c r="E71" i="4"/>
  <c r="D71" i="4"/>
  <c r="B71" i="4"/>
  <c r="C71" i="4" s="1"/>
  <c r="I70" i="4"/>
  <c r="H70" i="4"/>
  <c r="G70" i="4"/>
  <c r="F70" i="4"/>
  <c r="E70" i="4"/>
  <c r="D70" i="4"/>
  <c r="B70" i="4"/>
  <c r="C70" i="4" s="1"/>
  <c r="I69" i="4"/>
  <c r="H69" i="4"/>
  <c r="G69" i="4"/>
  <c r="F69" i="4"/>
  <c r="E69" i="4"/>
  <c r="D69" i="4"/>
  <c r="B69" i="4"/>
  <c r="C69" i="4" s="1"/>
  <c r="I68" i="4"/>
  <c r="H68" i="4"/>
  <c r="G68" i="4"/>
  <c r="F68" i="4"/>
  <c r="E68" i="4"/>
  <c r="D68" i="4"/>
  <c r="B68" i="4"/>
  <c r="C68" i="4" s="1"/>
  <c r="I67" i="4"/>
  <c r="H67" i="4"/>
  <c r="G67" i="4"/>
  <c r="F67" i="4"/>
  <c r="E67" i="4"/>
  <c r="D67" i="4"/>
  <c r="B67" i="4"/>
  <c r="C67" i="4" s="1"/>
  <c r="I66" i="4"/>
  <c r="H66" i="4"/>
  <c r="G66" i="4"/>
  <c r="F66" i="4"/>
  <c r="E66" i="4"/>
  <c r="D66" i="4"/>
  <c r="B66" i="4"/>
  <c r="C66" i="4" s="1"/>
  <c r="I65" i="4"/>
  <c r="H65" i="4"/>
  <c r="G65" i="4"/>
  <c r="F65" i="4"/>
  <c r="E65" i="4"/>
  <c r="D65" i="4"/>
  <c r="B65" i="4"/>
  <c r="C65" i="4" s="1"/>
  <c r="I64" i="4"/>
  <c r="H64" i="4"/>
  <c r="G64" i="4"/>
  <c r="F64" i="4"/>
  <c r="E64" i="4"/>
  <c r="D64" i="4"/>
  <c r="B64" i="4"/>
  <c r="C64" i="4" s="1"/>
  <c r="I63" i="4"/>
  <c r="H63" i="4"/>
  <c r="G63" i="4"/>
  <c r="F63" i="4"/>
  <c r="E63" i="4"/>
  <c r="D63" i="4"/>
  <c r="B63" i="4"/>
  <c r="C63" i="4" s="1"/>
  <c r="I62" i="4"/>
  <c r="H62" i="4"/>
  <c r="G62" i="4"/>
  <c r="F62" i="4"/>
  <c r="E62" i="4"/>
  <c r="D62" i="4"/>
  <c r="B62" i="4"/>
  <c r="C62" i="4" s="1"/>
  <c r="I61" i="4"/>
  <c r="H61" i="4"/>
  <c r="G61" i="4"/>
  <c r="F61" i="4"/>
  <c r="E61" i="4"/>
  <c r="D61" i="4"/>
  <c r="B61" i="4"/>
  <c r="C61" i="4" s="1"/>
  <c r="I60" i="4"/>
  <c r="H60" i="4"/>
  <c r="G60" i="4"/>
  <c r="F60" i="4"/>
  <c r="E60" i="4"/>
  <c r="D60" i="4"/>
  <c r="B60" i="4"/>
  <c r="C60" i="4" s="1"/>
  <c r="I59" i="4"/>
  <c r="H59" i="4"/>
  <c r="G59" i="4"/>
  <c r="F59" i="4"/>
  <c r="E59" i="4"/>
  <c r="D59" i="4"/>
  <c r="B59" i="4"/>
  <c r="C59" i="4" s="1"/>
  <c r="I58" i="4"/>
  <c r="H58" i="4"/>
  <c r="G58" i="4"/>
  <c r="F58" i="4"/>
  <c r="E58" i="4"/>
  <c r="D58" i="4"/>
  <c r="B58" i="4"/>
  <c r="C58" i="4" s="1"/>
  <c r="I57" i="4"/>
  <c r="H57" i="4"/>
  <c r="G57" i="4"/>
  <c r="F57" i="4"/>
  <c r="E57" i="4"/>
  <c r="D57" i="4"/>
  <c r="B57" i="4"/>
  <c r="C57" i="4" s="1"/>
  <c r="I56" i="4"/>
  <c r="H56" i="4"/>
  <c r="G56" i="4"/>
  <c r="F56" i="4"/>
  <c r="E56" i="4"/>
  <c r="D56" i="4"/>
  <c r="B56" i="4"/>
  <c r="C56" i="4" s="1"/>
  <c r="I55" i="4"/>
  <c r="H55" i="4"/>
  <c r="G55" i="4"/>
  <c r="F55" i="4"/>
  <c r="E55" i="4"/>
  <c r="D55" i="4"/>
  <c r="B55" i="4"/>
  <c r="C55" i="4" s="1"/>
  <c r="I54" i="4"/>
  <c r="H54" i="4"/>
  <c r="G54" i="4"/>
  <c r="F54" i="4"/>
  <c r="E54" i="4"/>
  <c r="D54" i="4"/>
  <c r="B54" i="4"/>
  <c r="C54" i="4" s="1"/>
  <c r="I53" i="4"/>
  <c r="H53" i="4"/>
  <c r="G53" i="4"/>
  <c r="F53" i="4"/>
  <c r="E53" i="4"/>
  <c r="D53" i="4"/>
  <c r="B53" i="4"/>
  <c r="C53" i="4" s="1"/>
  <c r="I52" i="4"/>
  <c r="H52" i="4"/>
  <c r="G52" i="4"/>
  <c r="F52" i="4"/>
  <c r="E52" i="4"/>
  <c r="D52" i="4"/>
  <c r="B52" i="4"/>
  <c r="C52" i="4" s="1"/>
  <c r="I51" i="4"/>
  <c r="H51" i="4"/>
  <c r="G51" i="4"/>
  <c r="F51" i="4"/>
  <c r="E51" i="4"/>
  <c r="D51" i="4"/>
  <c r="B51" i="4"/>
  <c r="C51" i="4" s="1"/>
  <c r="I50" i="4"/>
  <c r="H50" i="4"/>
  <c r="G50" i="4"/>
  <c r="F50" i="4"/>
  <c r="E50" i="4"/>
  <c r="D50" i="4"/>
  <c r="B50" i="4"/>
  <c r="C50" i="4" s="1"/>
  <c r="I49" i="4"/>
  <c r="H49" i="4"/>
  <c r="G49" i="4"/>
  <c r="F49" i="4"/>
  <c r="E49" i="4"/>
  <c r="D49" i="4"/>
  <c r="B49" i="4"/>
  <c r="C49" i="4" s="1"/>
  <c r="I48" i="4"/>
  <c r="H48" i="4"/>
  <c r="G48" i="4"/>
  <c r="F48" i="4"/>
  <c r="E48" i="4"/>
  <c r="D48" i="4"/>
  <c r="B48" i="4"/>
  <c r="C48" i="4" s="1"/>
  <c r="I47" i="4"/>
  <c r="H47" i="4"/>
  <c r="G47" i="4"/>
  <c r="F47" i="4"/>
  <c r="E47" i="4"/>
  <c r="D47" i="4"/>
  <c r="B47" i="4"/>
  <c r="C47" i="4" s="1"/>
  <c r="I46" i="4"/>
  <c r="H46" i="4"/>
  <c r="G46" i="4"/>
  <c r="F46" i="4"/>
  <c r="E46" i="4"/>
  <c r="D46" i="4"/>
  <c r="B46" i="4"/>
  <c r="C46" i="4" s="1"/>
  <c r="I45" i="4"/>
  <c r="H45" i="4"/>
  <c r="G45" i="4"/>
  <c r="F45" i="4"/>
  <c r="E45" i="4"/>
  <c r="D45" i="4"/>
  <c r="B45" i="4"/>
  <c r="C45" i="4" s="1"/>
  <c r="I44" i="4"/>
  <c r="H44" i="4"/>
  <c r="G44" i="4"/>
  <c r="F44" i="4"/>
  <c r="E44" i="4"/>
  <c r="D44" i="4"/>
  <c r="B44" i="4"/>
  <c r="C44" i="4" s="1"/>
  <c r="I43" i="4"/>
  <c r="H43" i="4"/>
  <c r="G43" i="4"/>
  <c r="F43" i="4"/>
  <c r="E43" i="4"/>
  <c r="D43" i="4"/>
  <c r="B43" i="4"/>
  <c r="C43" i="4" s="1"/>
  <c r="I42" i="4"/>
  <c r="H42" i="4"/>
  <c r="G42" i="4"/>
  <c r="F42" i="4"/>
  <c r="E42" i="4"/>
  <c r="D42" i="4"/>
  <c r="B42" i="4"/>
  <c r="C42" i="4" s="1"/>
  <c r="I41" i="4"/>
  <c r="H41" i="4"/>
  <c r="G41" i="4"/>
  <c r="F41" i="4"/>
  <c r="E41" i="4"/>
  <c r="D41" i="4"/>
  <c r="B41" i="4"/>
  <c r="C41" i="4" s="1"/>
  <c r="I40" i="4"/>
  <c r="H40" i="4"/>
  <c r="G40" i="4"/>
  <c r="F40" i="4"/>
  <c r="E40" i="4"/>
  <c r="D40" i="4"/>
  <c r="B40" i="4"/>
  <c r="C40" i="4" s="1"/>
  <c r="I39" i="4"/>
  <c r="H39" i="4"/>
  <c r="G39" i="4"/>
  <c r="F39" i="4"/>
  <c r="E39" i="4"/>
  <c r="D39" i="4"/>
  <c r="B39" i="4"/>
  <c r="C39" i="4" s="1"/>
  <c r="I38" i="4"/>
  <c r="H38" i="4"/>
  <c r="G38" i="4"/>
  <c r="F38" i="4"/>
  <c r="E38" i="4"/>
  <c r="D38" i="4"/>
  <c r="B38" i="4"/>
  <c r="C38" i="4" s="1"/>
  <c r="I37" i="4"/>
  <c r="H37" i="4"/>
  <c r="G37" i="4"/>
  <c r="F37" i="4"/>
  <c r="E37" i="4"/>
  <c r="D37" i="4"/>
  <c r="B37" i="4"/>
  <c r="C37" i="4" s="1"/>
  <c r="I36" i="4"/>
  <c r="H36" i="4"/>
  <c r="G36" i="4"/>
  <c r="F36" i="4"/>
  <c r="E36" i="4"/>
  <c r="D36" i="4"/>
  <c r="B36" i="4"/>
  <c r="C36" i="4" s="1"/>
  <c r="I35" i="4"/>
  <c r="H35" i="4"/>
  <c r="G35" i="4"/>
  <c r="F35" i="4"/>
  <c r="E35" i="4"/>
  <c r="D35" i="4"/>
  <c r="B35" i="4"/>
  <c r="C35" i="4" s="1"/>
  <c r="I34" i="4"/>
  <c r="H34" i="4"/>
  <c r="G34" i="4"/>
  <c r="F34" i="4"/>
  <c r="E34" i="4"/>
  <c r="D34" i="4"/>
  <c r="B34" i="4"/>
  <c r="C34" i="4" s="1"/>
  <c r="I33" i="4"/>
  <c r="H33" i="4"/>
  <c r="G33" i="4"/>
  <c r="F33" i="4"/>
  <c r="E33" i="4"/>
  <c r="D33" i="4"/>
  <c r="B33" i="4"/>
  <c r="C33" i="4" s="1"/>
  <c r="I32" i="4"/>
  <c r="H32" i="4"/>
  <c r="G32" i="4"/>
  <c r="F32" i="4"/>
  <c r="E32" i="4"/>
  <c r="D32" i="4"/>
  <c r="B32" i="4"/>
  <c r="C32" i="4" s="1"/>
  <c r="I31" i="4"/>
  <c r="H31" i="4"/>
  <c r="G31" i="4"/>
  <c r="F31" i="4"/>
  <c r="E31" i="4"/>
  <c r="D31" i="4"/>
  <c r="B31" i="4"/>
  <c r="C31" i="4" s="1"/>
  <c r="I30" i="4"/>
  <c r="H30" i="4"/>
  <c r="G30" i="4"/>
  <c r="F30" i="4"/>
  <c r="E30" i="4"/>
  <c r="D30" i="4"/>
  <c r="B30" i="4"/>
  <c r="C30" i="4" s="1"/>
  <c r="I29" i="4"/>
  <c r="H29" i="4"/>
  <c r="G29" i="4"/>
  <c r="F29" i="4"/>
  <c r="E29" i="4"/>
  <c r="D29" i="4"/>
  <c r="B29" i="4"/>
  <c r="C29" i="4" s="1"/>
  <c r="I28" i="4"/>
  <c r="H28" i="4"/>
  <c r="G28" i="4"/>
  <c r="F28" i="4"/>
  <c r="E28" i="4"/>
  <c r="D28" i="4"/>
  <c r="B28" i="4"/>
  <c r="C28" i="4" s="1"/>
  <c r="I27" i="4"/>
  <c r="H27" i="4"/>
  <c r="G27" i="4"/>
  <c r="F27" i="4"/>
  <c r="E27" i="4"/>
  <c r="D27" i="4"/>
  <c r="B27" i="4"/>
  <c r="C27" i="4" s="1"/>
  <c r="I26" i="4"/>
  <c r="H26" i="4"/>
  <c r="G26" i="4"/>
  <c r="F26" i="4"/>
  <c r="E26" i="4"/>
  <c r="D26" i="4"/>
  <c r="B26" i="4"/>
  <c r="C26" i="4" s="1"/>
  <c r="I25" i="4"/>
  <c r="H25" i="4"/>
  <c r="G25" i="4"/>
  <c r="F25" i="4"/>
  <c r="E25" i="4"/>
  <c r="D25" i="4"/>
  <c r="B25" i="4"/>
  <c r="C25" i="4" s="1"/>
  <c r="I24" i="4"/>
  <c r="H24" i="4"/>
  <c r="G24" i="4"/>
  <c r="F24" i="4"/>
  <c r="E24" i="4"/>
  <c r="D24" i="4"/>
  <c r="B24" i="4"/>
  <c r="C24" i="4" s="1"/>
  <c r="I23" i="4"/>
  <c r="H23" i="4"/>
  <c r="G23" i="4"/>
  <c r="F23" i="4"/>
  <c r="E23" i="4"/>
  <c r="D23" i="4"/>
  <c r="B23" i="4"/>
  <c r="C23" i="4" s="1"/>
  <c r="I22" i="4"/>
  <c r="H22" i="4"/>
  <c r="G22" i="4"/>
  <c r="F22" i="4"/>
  <c r="E22" i="4"/>
  <c r="D22" i="4"/>
  <c r="B22" i="4"/>
  <c r="C22" i="4" s="1"/>
  <c r="I21" i="4"/>
  <c r="H21" i="4"/>
  <c r="G21" i="4"/>
  <c r="F21" i="4"/>
  <c r="E21" i="4"/>
  <c r="D21" i="4"/>
  <c r="B21" i="4"/>
  <c r="C21" i="4" s="1"/>
  <c r="I20" i="4"/>
  <c r="H20" i="4"/>
  <c r="G20" i="4"/>
  <c r="F20" i="4"/>
  <c r="E20" i="4"/>
  <c r="D20" i="4"/>
  <c r="B20" i="4"/>
  <c r="C20" i="4" s="1"/>
  <c r="I19" i="4"/>
  <c r="H19" i="4"/>
  <c r="G19" i="4"/>
  <c r="F19" i="4"/>
  <c r="E19" i="4"/>
  <c r="D19" i="4"/>
  <c r="B19" i="4"/>
  <c r="C19" i="4" s="1"/>
  <c r="I18" i="4"/>
  <c r="H18" i="4"/>
  <c r="G18" i="4"/>
  <c r="F18" i="4"/>
  <c r="E18" i="4"/>
  <c r="D18" i="4"/>
  <c r="B18" i="4"/>
  <c r="C18" i="4" s="1"/>
  <c r="I17" i="4"/>
  <c r="H17" i="4"/>
  <c r="G17" i="4"/>
  <c r="F17" i="4"/>
  <c r="E17" i="4"/>
  <c r="D17" i="4"/>
  <c r="B17" i="4"/>
  <c r="C17" i="4" s="1"/>
  <c r="I16" i="4"/>
  <c r="H16" i="4"/>
  <c r="G16" i="4"/>
  <c r="F16" i="4"/>
  <c r="E16" i="4"/>
  <c r="D16" i="4"/>
  <c r="B16" i="4"/>
  <c r="C16" i="4" s="1"/>
  <c r="I15" i="4"/>
  <c r="H15" i="4"/>
  <c r="G15" i="4"/>
  <c r="F15" i="4"/>
  <c r="E15" i="4"/>
  <c r="D15" i="4"/>
  <c r="B15" i="4"/>
  <c r="C15" i="4" s="1"/>
  <c r="I14" i="4"/>
  <c r="H14" i="4"/>
  <c r="G14" i="4"/>
  <c r="F14" i="4"/>
  <c r="E14" i="4"/>
  <c r="D14" i="4"/>
  <c r="B14" i="4"/>
  <c r="C14" i="4" s="1"/>
  <c r="I13" i="4"/>
  <c r="H13" i="4"/>
  <c r="G13" i="4"/>
  <c r="F13" i="4"/>
  <c r="E13" i="4"/>
  <c r="D13" i="4"/>
  <c r="B13" i="4"/>
  <c r="C13" i="4" s="1"/>
  <c r="I12" i="4"/>
  <c r="H12" i="4"/>
  <c r="G12" i="4"/>
  <c r="F12" i="4"/>
  <c r="E12" i="4"/>
  <c r="D12" i="4"/>
  <c r="B12" i="4"/>
  <c r="C12" i="4" s="1"/>
  <c r="I11" i="4"/>
  <c r="H11" i="4"/>
  <c r="G11" i="4"/>
  <c r="F11" i="4"/>
  <c r="E11" i="4"/>
  <c r="D11" i="4"/>
  <c r="B11" i="4"/>
  <c r="C11" i="4" s="1"/>
  <c r="I10" i="4"/>
  <c r="H10" i="4"/>
  <c r="G10" i="4"/>
  <c r="F10" i="4"/>
  <c r="E10" i="4"/>
  <c r="D10" i="4"/>
  <c r="B10" i="4"/>
  <c r="C10" i="4" s="1"/>
  <c r="I9" i="4"/>
  <c r="H9" i="4"/>
  <c r="G9" i="4"/>
  <c r="F9" i="4"/>
  <c r="E9" i="4"/>
  <c r="D9" i="4"/>
  <c r="B9" i="4"/>
  <c r="C9" i="4" s="1"/>
  <c r="I8" i="4"/>
  <c r="H8" i="4"/>
  <c r="G8" i="4"/>
  <c r="F8" i="4"/>
  <c r="E8" i="4"/>
  <c r="D8" i="4"/>
  <c r="B8" i="4"/>
  <c r="C8" i="4" s="1"/>
  <c r="I7" i="4"/>
  <c r="H7" i="4"/>
  <c r="G7" i="4"/>
  <c r="F7" i="4"/>
  <c r="E7" i="4"/>
  <c r="D7" i="4"/>
  <c r="B7" i="4"/>
  <c r="C7" i="4" s="1"/>
  <c r="I6" i="4"/>
  <c r="H6" i="4"/>
  <c r="G6" i="4"/>
  <c r="F6" i="4"/>
  <c r="E6" i="4"/>
  <c r="D6" i="4"/>
  <c r="B6" i="4"/>
  <c r="C6" i="4" s="1"/>
  <c r="I5" i="4"/>
  <c r="H5" i="4"/>
  <c r="G5" i="4"/>
  <c r="F5" i="4"/>
  <c r="E5" i="4"/>
  <c r="D5" i="4"/>
  <c r="B5" i="4"/>
  <c r="C5" i="4" s="1"/>
  <c r="I4" i="4"/>
  <c r="H4" i="4"/>
  <c r="G4" i="4"/>
  <c r="F4" i="4"/>
  <c r="E4" i="4"/>
  <c r="D4" i="4"/>
  <c r="B4" i="4"/>
  <c r="C4" i="4" s="1"/>
  <c r="N17" i="3"/>
  <c r="O17" i="3" s="1"/>
  <c r="P17" i="3" s="1"/>
  <c r="A17" i="3"/>
  <c r="N16" i="3"/>
  <c r="O16" i="3" s="1"/>
  <c r="P16" i="3" s="1"/>
  <c r="A16" i="3"/>
  <c r="N15" i="3"/>
  <c r="O15" i="3" s="1"/>
  <c r="P15" i="3" s="1"/>
  <c r="A15" i="3"/>
  <c r="N14" i="3"/>
  <c r="O14" i="3" s="1"/>
  <c r="P14" i="3" s="1"/>
  <c r="A14" i="3"/>
  <c r="N13" i="3"/>
  <c r="O13" i="3" s="1"/>
  <c r="P13" i="3" s="1"/>
  <c r="A13" i="3"/>
  <c r="N12" i="3"/>
  <c r="O12" i="3" s="1"/>
  <c r="P12" i="3" s="1"/>
  <c r="A12" i="3"/>
  <c r="N11" i="3"/>
  <c r="O11" i="3" s="1"/>
  <c r="P11" i="3" s="1"/>
  <c r="A11" i="3"/>
  <c r="N10" i="3"/>
  <c r="O10" i="3" s="1"/>
  <c r="P10" i="3" s="1"/>
  <c r="A10" i="3"/>
  <c r="N9" i="3"/>
  <c r="O9" i="3" s="1"/>
  <c r="P9" i="3" s="1"/>
  <c r="A9" i="3"/>
  <c r="N8" i="3"/>
  <c r="O8" i="3" s="1"/>
  <c r="P8" i="3" s="1"/>
  <c r="A8" i="3"/>
  <c r="N7" i="3"/>
  <c r="O7" i="3" s="1"/>
  <c r="P7" i="3" s="1"/>
  <c r="A7" i="3"/>
  <c r="N6" i="3"/>
  <c r="O6" i="3" s="1"/>
  <c r="P6" i="3" s="1"/>
  <c r="A6" i="3"/>
  <c r="N5" i="3"/>
  <c r="O5" i="3" s="1"/>
  <c r="P5" i="3" s="1"/>
  <c r="A5" i="3"/>
  <c r="N4" i="3"/>
  <c r="O4" i="3" s="1"/>
  <c r="P4" i="3" s="1"/>
  <c r="A4" i="3"/>
  <c r="N3" i="3"/>
  <c r="O3" i="3" s="1"/>
  <c r="P3" i="3" s="1"/>
  <c r="A3" i="3"/>
  <c r="N2" i="3"/>
  <c r="O2" i="3" s="1"/>
  <c r="P2" i="3" s="1"/>
  <c r="A2" i="3"/>
  <c r="I3" i="4" l="1"/>
  <c r="H3" i="4"/>
  <c r="G3" i="4"/>
  <c r="F3" i="4"/>
  <c r="E3" i="4"/>
  <c r="D3" i="4"/>
  <c r="B3" i="4"/>
  <c r="C3" i="4" s="1"/>
  <c r="B29" i="5"/>
  <c r="B28" i="5"/>
  <c r="B27" i="5"/>
  <c r="B26" i="5"/>
  <c r="B25" i="5"/>
  <c r="B24" i="5"/>
  <c r="B23" i="5"/>
  <c r="B22" i="5"/>
  <c r="B21" i="5"/>
  <c r="A12" i="5"/>
  <c r="A11" i="5"/>
  <c r="A10" i="5"/>
  <c r="A9" i="5"/>
  <c r="A8" i="5"/>
  <c r="A7" i="5"/>
  <c r="A16" i="5"/>
  <c r="A15" i="5"/>
  <c r="A14" i="5"/>
  <c r="B14" i="5" s="1"/>
  <c r="A13" i="5"/>
  <c r="B13" i="5" s="1"/>
  <c r="B16" i="5"/>
  <c r="B15" i="5"/>
  <c r="B12" i="5"/>
  <c r="B11" i="5"/>
  <c r="B10" i="5"/>
  <c r="B9" i="5"/>
  <c r="B8" i="5"/>
  <c r="B7" i="5"/>
</calcChain>
</file>

<file path=xl/sharedStrings.xml><?xml version="1.0" encoding="utf-8"?>
<sst xmlns="http://schemas.openxmlformats.org/spreadsheetml/2006/main" count="417" uniqueCount="186">
  <si>
    <t>Teams</t>
  </si>
  <si>
    <t>Service Lines</t>
  </si>
  <si>
    <t>Months (1st of month)</t>
  </si>
  <si>
    <t>Employees (add your staff here)</t>
  </si>
  <si>
    <t>Reviewers (add supervisors/partners here)</t>
  </si>
  <si>
    <t>JIM ROBERTS CONSULTING</t>
  </si>
  <si>
    <t>Internal Audit</t>
  </si>
  <si>
    <t>2026-04-01</t>
  </si>
  <si>
    <t>Anthony Kaale</t>
  </si>
  <si>
    <t>CPA Ruth Waibale Mwoga</t>
  </si>
  <si>
    <t>2026-05-01</t>
  </si>
  <si>
    <t>Catherine Nakimuli</t>
  </si>
  <si>
    <t>2026-06-01</t>
  </si>
  <si>
    <t>2026-07-01</t>
  </si>
  <si>
    <t>2026-08-01</t>
  </si>
  <si>
    <t>2026-09-01</t>
  </si>
  <si>
    <t>2026-10-01</t>
  </si>
  <si>
    <t>2026-11-01</t>
  </si>
  <si>
    <t>2026-12-01</t>
  </si>
  <si>
    <t>KPI_ID</t>
  </si>
  <si>
    <t>Perspective</t>
  </si>
  <si>
    <t>PerspectiveWeight</t>
  </si>
  <si>
    <t>KPI</t>
  </si>
  <si>
    <t>KPIWeight</t>
  </si>
  <si>
    <t>Target</t>
  </si>
  <si>
    <t>Unit/Notes</t>
  </si>
  <si>
    <t>CUST_01</t>
  </si>
  <si>
    <t>Customers/Stakeholders</t>
  </si>
  <si>
    <t>Customer Satisfaction Survey score</t>
  </si>
  <si>
    <t>Score 1-5</t>
  </si>
  <si>
    <t>FIN_01</t>
  </si>
  <si>
    <t>Financial</t>
  </si>
  <si>
    <t>Collection for the month in UGX</t>
  </si>
  <si>
    <t>UGX</t>
  </si>
  <si>
    <t>PROC_01</t>
  </si>
  <si>
    <t>Internal Business Process</t>
  </si>
  <si>
    <t>No. of business referrals provided</t>
  </si>
  <si>
    <t>Count</t>
  </si>
  <si>
    <t>PROC_02</t>
  </si>
  <si>
    <t>No. of clients got (business closed)</t>
  </si>
  <si>
    <t>PROC_03</t>
  </si>
  <si>
    <t>Timely submission of weekly accountability reports</t>
  </si>
  <si>
    <t>Count (weekly)</t>
  </si>
  <si>
    <t>PROC_04</t>
  </si>
  <si>
    <t>Timely submission of monthly Time Sheets</t>
  </si>
  <si>
    <t>Yes=1 / No=0 or count</t>
  </si>
  <si>
    <t>PROC_05</t>
  </si>
  <si>
    <t>Timely completion of assignments</t>
  </si>
  <si>
    <t>PROC_06</t>
  </si>
  <si>
    <t>Quality of assignments handled (QCR results)</t>
  </si>
  <si>
    <t>PEOP_01</t>
  </si>
  <si>
    <t>People and Culture</t>
  </si>
  <si>
    <t>Time keeping - Score from Odoo Attendance App</t>
  </si>
  <si>
    <t>PEOP_02</t>
  </si>
  <si>
    <t>Evidence of living the firm's Vision, Mission and Values</t>
  </si>
  <si>
    <t>ESG_01</t>
  </si>
  <si>
    <t>ESG and Sustainability</t>
  </si>
  <si>
    <t>Demonstrates support to the firm's ESG and Sustainability agenda</t>
  </si>
  <si>
    <t>LNI_01</t>
  </si>
  <si>
    <t>Learning and Innovation</t>
  </si>
  <si>
    <t>No. of hours committed to internal training</t>
  </si>
  <si>
    <t>Hours</t>
  </si>
  <si>
    <t>LNI_02</t>
  </si>
  <si>
    <t>No. of courses completed (approved learning sites)</t>
  </si>
  <si>
    <t>LNI_03</t>
  </si>
  <si>
    <t>No. of hours committed to external training/reading technical materials</t>
  </si>
  <si>
    <t>LNI_04</t>
  </si>
  <si>
    <t>No. of hours committed to Coaching and Mentoring</t>
  </si>
  <si>
    <t>LNI_05</t>
  </si>
  <si>
    <t>Contributes innovative ideas to the firm</t>
  </si>
  <si>
    <t>EntryID</t>
  </si>
  <si>
    <t>Month</t>
  </si>
  <si>
    <t>Team</t>
  </si>
  <si>
    <t>ServiceLine</t>
  </si>
  <si>
    <t>Employee</t>
  </si>
  <si>
    <t>Reviewer</t>
  </si>
  <si>
    <t>Actual</t>
  </si>
  <si>
    <t>Performance %</t>
  </si>
  <si>
    <t>Score (1-5)</t>
  </si>
  <si>
    <t>Final Score</t>
  </si>
  <si>
    <t>Employee Comments</t>
  </si>
  <si>
    <t>Supervisor Comments</t>
  </si>
  <si>
    <t>Status</t>
  </si>
  <si>
    <t>Draft</t>
  </si>
  <si>
    <t>Select Month:</t>
  </si>
  <si>
    <t>Select Service Line:</t>
  </si>
  <si>
    <t>RAG</t>
  </si>
  <si>
    <t>Customers</t>
  </si>
  <si>
    <t>Internal Process</t>
  </si>
  <si>
    <t>People &amp; Culture</t>
  </si>
  <si>
    <t>ESG</t>
  </si>
  <si>
    <t>Learning &amp; Innovation</t>
  </si>
  <si>
    <t>HLB Performance Dashboard (Master)</t>
  </si>
  <si>
    <t>Selected Month:</t>
  </si>
  <si>
    <t>Selected Service Line:</t>
  </si>
  <si>
    <t>Top Employees (by Final Score)</t>
  </si>
  <si>
    <t>Trend (Average Score by Month – Selected Service Line)</t>
  </si>
  <si>
    <t>Average Score</t>
  </si>
  <si>
    <t>How to Use the Master Performance System</t>
  </si>
  <si>
    <t>1) Go to the Lists sheet and add all Employees and Reviewers (supervisors/partners).</t>
  </si>
  <si>
    <t>2) In KPI_Definitions: maintain KPI targets and weights. These are preloaded based on the existing Performance Compact format.</t>
  </si>
  <si>
    <t>3) In Entries: each row is one KPI record for one employee and one month.</t>
  </si>
  <si>
    <t xml:space="preserve">   - Set Month, Team, ServiceLine, Employee, Reviewer.</t>
  </si>
  <si>
    <t xml:space="preserve">   - Enter Actual only (column M). Performance %, Score and Final Score calculate automatically.</t>
  </si>
  <si>
    <t xml:space="preserve">   - Add comments and update Status (Draft/Submitted/Reviewed/Approved).</t>
  </si>
  <si>
    <t>4) Summary automatically produces employee-month rollups (Final Score + perspective breakdown) for the selected month/service line.</t>
  </si>
  <si>
    <t>5) Dashboard shows Top Employees and trend charts. Use the Summary selectors to change Month and Service Line.</t>
  </si>
  <si>
    <t>Governance note: Where targets need adjustment (e.g., weekly reports if only one week applies), adjust the Target in KPI_Definitions for that cycle or create a new KPI_ID version for that month.</t>
  </si>
  <si>
    <t>Job Title</t>
  </si>
  <si>
    <t>Work Phone</t>
  </si>
  <si>
    <t>First Contract Date</t>
  </si>
  <si>
    <t>Contract End Date</t>
  </si>
  <si>
    <t>Birthday</t>
  </si>
  <si>
    <t>Company</t>
  </si>
  <si>
    <t>Alex Otala</t>
  </si>
  <si>
    <t>Finance and Admin Assistant</t>
  </si>
  <si>
    <t>alex.otala@hlbjimroberts.com</t>
  </si>
  <si>
    <t>Angella Nakintu</t>
  </si>
  <si>
    <t>Business Development Manager</t>
  </si>
  <si>
    <t>angella.nakintu@hlbjimroberts.com</t>
  </si>
  <si>
    <t>anthony.kaale@hlbjimroberts.com</t>
  </si>
  <si>
    <t>Anyine Mugumya Louis</t>
  </si>
  <si>
    <t>IT Consultant</t>
  </si>
  <si>
    <t>louis.anyine@hlbjimroberts.com</t>
  </si>
  <si>
    <t>Brivian Joan Nakaggwa</t>
  </si>
  <si>
    <t>David Kolo</t>
  </si>
  <si>
    <t>Team Member</t>
  </si>
  <si>
    <t>david.koloh@hlbjimroberts.com</t>
  </si>
  <si>
    <t>Derick Kiviri Luwandaga</t>
  </si>
  <si>
    <t>Manager Audit &amp; Assurance</t>
  </si>
  <si>
    <t>derick.luwandaga@hlbjimroberts.com</t>
  </si>
  <si>
    <t>Emmanuel Onono</t>
  </si>
  <si>
    <t>emmanuel.onono@hlbjimroberts.com</t>
  </si>
  <si>
    <t>Gilbert Wandera</t>
  </si>
  <si>
    <t>gilbert.wandera@hlbjimroberts.com</t>
  </si>
  <si>
    <t>Innocent Akabway</t>
  </si>
  <si>
    <t>Digital Marketing Officer</t>
  </si>
  <si>
    <t>innocent.akabway@hlbjimroberts.com</t>
  </si>
  <si>
    <t>James Okello Onyoin</t>
  </si>
  <si>
    <t>Managing Partner</t>
  </si>
  <si>
    <t>james.onyoin@hlbjimroberts.com</t>
  </si>
  <si>
    <t>Julius Kenneth Okurut</t>
  </si>
  <si>
    <t>Partner</t>
  </si>
  <si>
    <t>julius.okurut@hlbjimroberts.com</t>
  </si>
  <si>
    <t>Mariam Nassozi</t>
  </si>
  <si>
    <t>mariam.nassozi@hlbjimroberts.com</t>
  </si>
  <si>
    <t>Marion Onyoin</t>
  </si>
  <si>
    <t>HR Consultant</t>
  </si>
  <si>
    <t>marion.onyoin@hlbjimroberts.com</t>
  </si>
  <si>
    <t>Moses Setebere</t>
  </si>
  <si>
    <t>moses.setebere@hlbjimroberts.com</t>
  </si>
  <si>
    <t>ruth.mwoga@hlbjimroberts.com</t>
  </si>
  <si>
    <t>Nakaggwa Brivian Joan</t>
  </si>
  <si>
    <t>Asst. Finance &amp; Admin Officer</t>
  </si>
  <si>
    <t>joan.nakaggwa@hlbjimroberts.com</t>
  </si>
  <si>
    <t>Nakimuli Catherine</t>
  </si>
  <si>
    <t>catherine.nakimuli@hlbjimroberts.com</t>
  </si>
  <si>
    <t>Nalule Christine</t>
  </si>
  <si>
    <t>Team Leader</t>
  </si>
  <si>
    <t>christine.nalule@hlbjimroberts.com</t>
  </si>
  <si>
    <t>Nantale Angella Jackie</t>
  </si>
  <si>
    <t>Asst. Manager / Audit Assurance</t>
  </si>
  <si>
    <t>jackline.nantale@hlbjimroberts.com</t>
  </si>
  <si>
    <t>Nasolo Jacent</t>
  </si>
  <si>
    <t>jacent.nassolo@hlbjimroberts.com</t>
  </si>
  <si>
    <t>Robert Otala</t>
  </si>
  <si>
    <t>robert.otala@hlbjimroberts.com</t>
  </si>
  <si>
    <t>Samuel Okurapa</t>
  </si>
  <si>
    <t>samuel.okurapa@hlbjimroberts.com</t>
  </si>
  <si>
    <t>Shafiq Kiguli</t>
  </si>
  <si>
    <t>shafiq.kiguli@hlbjimroberts.com</t>
  </si>
  <si>
    <t>Sharon Namanda</t>
  </si>
  <si>
    <t>Sharon.namanda@hlbjimroberts.com</t>
  </si>
  <si>
    <t>Internal Audit/Team Leader</t>
  </si>
  <si>
    <t>Consultancy Services/ Team Leader</t>
  </si>
  <si>
    <t>James Onyoin Okello</t>
  </si>
  <si>
    <t>Ruth Waibale Mwoga</t>
  </si>
  <si>
    <t>Director</t>
  </si>
  <si>
    <t>HLB JIM ROBERTS</t>
  </si>
  <si>
    <t>External Audit</t>
  </si>
  <si>
    <t>Employee_ID</t>
  </si>
  <si>
    <t>team</t>
  </si>
  <si>
    <t>service_line</t>
  </si>
  <si>
    <t>reviewer</t>
  </si>
  <si>
    <t>email</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</si>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</sst>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6" x14ac:knownFonts="1">
    <font>
      <sz val="11"/>
      <color theme="1"/>
      <name val="Calibri"/>
      <family val="2"/>
      <scheme val="minor"/>
    </font>
    <font>
      <b/>
      <sz val="11"/>
      <name val="Calibri"/>
      <family val="2"/>
    </font>
    <font>
      <b/>
      <sz val="11"/>
      <color rgb="FFFFFFFF"/>
      <name val="Calibri"/>
      <family val="2"/>
    </font>
    <font>
      <b/>
      <sz val="16"/>
      <color rgb="FF1F4E79"/>
      <name val="Calibri"/>
      <family val="2"/>
    </font>
    <font>
      <b/>
      <sz val="14"/>
      <name val="Calibri"/>
      <family val="2"/>
    </font>
    <font>
      <b/>
      <sz val="11"/>
      <color theme="1"/>
      <name val="Calibri"/>
      <family val="2"/>
      <scheme val="minor"/>
    </font>
  </fonts>
  <fills count="4">
    <fill>
      <patternFill patternType="none"/>
    </fill>
    <fill>
      <patternFill patternType="gray125"/>
    </fill>
    <fill>
      <patternFill patternType="solid">
        <fgColor rgb="FFD9E1F2"/>
      </patternFill>
    </fill>
    <fill>
      <patternFill patternType="solid">
        <fgColor rgb="FF1F4E7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3" borderId="0" xfId="0" applyFont="1" applyFill="1" applyAlignment="1">
      <alignment horizontal="center" vertical="center" wrapText="1"/>
    </xf>
    <xf numFmtId="0" fontId="0" fillId="0" borderId="0" xfId="0" applyAlignment="1">
      <alignment vertical="top" wrapText="1"/>
    </xf>
    <xf numFmtId="0" fontId="1" fillId="0" borderId="0" xfId="0" applyFont="1"/>
    <xf numFmtId="0" fontId="3" fillId="0" borderId="0" xfId="0" applyFont="1"/>
    <xf numFmtId="0" fontId="4" fillId="0" borderId="0" xfId="0" applyFont="1"/>
    <xf numFmtId="0" fontId="5" fillId="0" borderId="0" xfId="0" applyFont="1"/>
    <xf numFmtId="0" fontId="0" fillId="0" borderId="0" xfId="0" applyAlignment="1">
      <alignment wrapText="1"/>
    </xf>
    <xf numFmtId="164" fontId="0" fillId="0" borderId="0" xfId="0" applyNumberFormat="1" applyAlignment="1">
      <alignment wrapText="1"/>
    </xf>
    <xf numFmtId="165" fontId="0" fillId="0" borderId="0" xfId="0" applyNumberFormat="1" applyProtection="1">
      <protection locked="0"/>
    </xf>
    <xf numFmtId="0" fontId="5" fillId="0" borderId="0" xfId="0" applyFont="1" applyProtection="1">
      <protection locked="0"/>
    </xf>
    <xf numFmtId="0" fontId="0" fillId="0" borderId="0" xfId="0" applyProtection="1">
      <protection locked="0"/>
    </xf>
  </cellXfs>
  <cellStyles count="1">
    <cellStyle name="Normal" xfId="0" builtinId="0"/>
  </cellStyles>
  <dxfs count="6">
    <dxf>
      <fill>
        <patternFill patternType="solid">
          <fgColor rgb="FFC6E0B4"/>
        </patternFill>
      </fill>
    </dxf>
    <dxf>
      <fill>
        <patternFill patternType="solid">
          <fgColor rgb="FFFFF2CC"/>
        </patternFill>
      </fill>
    </dxf>
    <dxf>
      <fill>
        <patternFill patternType="solid">
          <fgColor rgb="FFF8CBAD"/>
        </patternFill>
      </fill>
    </dxf>
    <dxf>
      <fill>
        <patternFill patternType="solid">
          <fgColor rgb="FFC6E0B4"/>
        </patternFill>
      </fill>
    </dxf>
    <dxf>
      <fill>
        <patternFill patternType="solid">
          <fgColor rgb="FFFFF2CC"/>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Employees – Final Score</a:t>
            </a:r>
          </a:p>
        </c:rich>
      </c:tx>
      <c:overlay val="1"/>
    </c:title>
    <c:autoTitleDeleted val="0"/>
    <c:plotArea>
      <c:layout/>
      <c:barChart>
        <c:barDir val="col"/>
        <c:grouping val="clustered"/>
        <c:varyColors val="1"/>
        <c:ser>
          <c:idx val="0"/>
          <c:order val="0"/>
          <c:tx>
            <c:strRef>
              <c:f>Dashboard!$B$6</c:f>
              <c:strCache>
                <c:ptCount val="1"/>
                <c:pt idx="0">
                  <c:v>Final Score</c:v>
                </c:pt>
              </c:strCache>
            </c:strRef>
          </c:tx>
          <c:spPr>
            <a:ln>
              <a:prstDash val="solid"/>
            </a:ln>
          </c:spPr>
          <c:invertIfNegative val="1"/>
          <c:cat>
            <c:numRef>
              <c:f>Dashboard!$A$7:$A$16</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Dashboard!$B$7:$B$16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DBC-4A36-AFB3-8819294B7AB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Employee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Score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Average Final Score Trend</a:t>
            </a:r>
          </a:p>
        </c:rich>
      </c:tx>
      <c:overlay val="1"/>
    </c:title>
    <c:autoTitleDeleted val="0"/>
    <c:plotArea>
      <c:layout/>
      <c:lineChart>
        <c:grouping val="standard"/>
        <c:varyColors val="1"/>
        <c:ser>
          <c:idx val="0"/>
          <c:order val="0"/>
          <c:tx>
            <c:strRef>
              <c:f>Dashboard!$B$20</c:f>
              <c:strCache>
                <c:ptCount val="1"/>
                <c:pt idx="0">
                  <c:v>Average Score</c:v>
                </c:pt>
              </c:strCache>
            </c:strRef>
          </c:tx>
          <c:spPr>
            <a:ln>
              <a:prstDash val="solid"/>
            </a:ln>
          </c:spPr>
          <c:marker>
            <c:symbol val="none"/>
          </c:marker>
          <c:cat>
            <c:strRef>
              <c:f>Dashboard!$A$21:$A$29</c:f>
              <c:strCache>
                <c:ptCount val="9"/>
                <c:pt idx="0">
                  <c:v>2026-04-01</c:v>
                </c:pt>
                <c:pt idx="1">
                  <c:v>2026-05-01</c:v>
                </c:pt>
                <c:pt idx="2">
                  <c:v>2026-06-01</c:v>
                </c:pt>
                <c:pt idx="3">
                  <c:v>2026-07-01</c:v>
                </c:pt>
                <c:pt idx="4">
                  <c:v>2026-08-01</c:v>
                </c:pt>
                <c:pt idx="5">
                  <c:v>2026-09-01</c:v>
                </c:pt>
                <c:pt idx="6">
                  <c:v>2026-10-01</c:v>
                </c:pt>
                <c:pt idx="7">
                  <c:v>2026-11-01</c:v>
                </c:pt>
                <c:pt idx="8">
                  <c:v>2026-12-01</c:v>
                </c:pt>
              </c:strCache>
            </c:strRef>
          </c:cat>
          <c:val>
            <c:numRef>
              <c:f>Dashboard!$B$21:$B$29</c:f>
              <c:numCache>
                <c:formatCode>General</c:formatCode>
                <c:ptCount val="9"/>
                <c:pt idx="0">
                  <c:v>6.25E-2</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0-AE49-4AF8-9187-B6939C40A5EC}"/>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Average Score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5</xdr:row>
      <xdr:rowOff>0</xdr:rowOff>
    </xdr:from>
    <xdr:ext cx="7200000" cy="36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18</xdr:row>
      <xdr:rowOff>0</xdr:rowOff>
    </xdr:from>
    <xdr:ext cx="7200000" cy="324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pane ySplit="1" topLeftCell="A2" activePane="bottomLeft" state="frozen"/>
      <selection pane="bottomLeft" activeCell="E3" sqref="E3"/>
    </sheetView>
  </sheetViews>
  <sheetFormatPr defaultRowHeight="14.5" x14ac:dyDescent="0.35"/>
  <cols>
    <col min="4" max="4" width="22.7265625" customWidth="1"/>
    <col min="5" max="5" width="36.1796875" customWidth="1"/>
  </cols>
  <sheetData>
    <row r="1" spans="1:5" x14ac:dyDescent="0.35">
      <c r="A1" s="1" t="s">
        <v>0</v>
      </c>
      <c r="B1" s="1" t="s">
        <v>1</v>
      </c>
      <c r="C1" s="1" t="s">
        <v>2</v>
      </c>
      <c r="D1" s="1" t="s">
        <v>3</v>
      </c>
      <c r="E1" s="1" t="s">
        <v>4</v>
      </c>
    </row>
    <row r="2" spans="1:5" x14ac:dyDescent="0.35">
      <c r="A2" t="s">
        <v>5</v>
      </c>
      <c r="B2" t="s">
        <v>6</v>
      </c>
      <c r="C2" t="s">
        <v>7</v>
      </c>
      <c r="D2" t="s">
        <v>8</v>
      </c>
      <c r="E2" t="s">
        <v>9</v>
      </c>
    </row>
    <row r="3" spans="1:5" x14ac:dyDescent="0.35">
      <c r="A3" t="s">
        <v>5</v>
      </c>
      <c r="B3" t="s">
        <v>6</v>
      </c>
      <c r="C3" t="s">
        <v>10</v>
      </c>
      <c r="D3" t="s">
        <v>11</v>
      </c>
      <c r="E3" t="s">
        <v>9</v>
      </c>
    </row>
    <row r="4" spans="1:5" x14ac:dyDescent="0.35">
      <c r="C4" t="s">
        <v>12</v>
      </c>
    </row>
    <row r="5" spans="1:5" x14ac:dyDescent="0.35">
      <c r="C5" t="s">
        <v>13</v>
      </c>
    </row>
    <row r="6" spans="1:5" x14ac:dyDescent="0.35">
      <c r="C6" t="s">
        <v>14</v>
      </c>
    </row>
    <row r="7" spans="1:5" x14ac:dyDescent="0.35">
      <c r="C7" t="s">
        <v>15</v>
      </c>
    </row>
    <row r="8" spans="1:5" x14ac:dyDescent="0.35">
      <c r="C8" t="s">
        <v>16</v>
      </c>
    </row>
    <row r="9" spans="1:5" x14ac:dyDescent="0.35">
      <c r="C9" t="s">
        <v>17</v>
      </c>
    </row>
    <row r="10" spans="1:5" x14ac:dyDescent="0.35">
      <c r="C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pane ySplit="1" topLeftCell="A2" activePane="bottomLeft" state="frozen"/>
      <selection pane="bottomLeft"/>
    </sheetView>
  </sheetViews>
  <sheetFormatPr defaultRowHeight="14.5" x14ac:dyDescent="0.35"/>
  <cols>
    <col min="1" max="1" width="10" customWidth="1"/>
    <col min="2" max="2" width="26" customWidth="1"/>
    <col min="3" max="3" width="18" customWidth="1"/>
    <col min="4" max="4" width="55" customWidth="1"/>
    <col min="5" max="5" width="10" customWidth="1"/>
    <col min="6" max="6" width="14" customWidth="1"/>
    <col min="7" max="7" width="22" customWidth="1"/>
  </cols>
  <sheetData>
    <row r="1" spans="1:7" x14ac:dyDescent="0.35">
      <c r="A1" s="2" t="s">
        <v>19</v>
      </c>
      <c r="B1" s="2" t="s">
        <v>20</v>
      </c>
      <c r="C1" s="2" t="s">
        <v>21</v>
      </c>
      <c r="D1" s="2" t="s">
        <v>22</v>
      </c>
      <c r="E1" s="2" t="s">
        <v>23</v>
      </c>
      <c r="F1" s="2" t="s">
        <v>24</v>
      </c>
      <c r="G1" s="2" t="s">
        <v>25</v>
      </c>
    </row>
    <row r="2" spans="1:7" x14ac:dyDescent="0.35">
      <c r="A2" t="s">
        <v>26</v>
      </c>
      <c r="B2" t="s">
        <v>27</v>
      </c>
      <c r="C2">
        <v>0.1</v>
      </c>
      <c r="D2" t="s">
        <v>28</v>
      </c>
      <c r="E2">
        <v>1</v>
      </c>
      <c r="F2">
        <v>5</v>
      </c>
      <c r="G2" t="s">
        <v>29</v>
      </c>
    </row>
    <row r="3" spans="1:7" x14ac:dyDescent="0.35">
      <c r="A3" t="s">
        <v>30</v>
      </c>
      <c r="B3" t="s">
        <v>31</v>
      </c>
      <c r="C3">
        <v>0.2</v>
      </c>
      <c r="D3" t="s">
        <v>32</v>
      </c>
      <c r="E3">
        <v>1</v>
      </c>
      <c r="F3">
        <v>20000000</v>
      </c>
      <c r="G3" t="s">
        <v>33</v>
      </c>
    </row>
    <row r="4" spans="1:7" x14ac:dyDescent="0.35">
      <c r="A4" t="s">
        <v>34</v>
      </c>
      <c r="B4" t="s">
        <v>35</v>
      </c>
      <c r="C4">
        <v>0.4</v>
      </c>
      <c r="D4" t="s">
        <v>36</v>
      </c>
      <c r="E4">
        <v>0.1</v>
      </c>
      <c r="F4">
        <v>1</v>
      </c>
      <c r="G4" t="s">
        <v>37</v>
      </c>
    </row>
    <row r="5" spans="1:7" x14ac:dyDescent="0.35">
      <c r="A5" t="s">
        <v>38</v>
      </c>
      <c r="B5" t="s">
        <v>35</v>
      </c>
      <c r="C5">
        <v>0.4</v>
      </c>
      <c r="D5" t="s">
        <v>39</v>
      </c>
      <c r="E5">
        <v>0.3</v>
      </c>
      <c r="F5">
        <v>1</v>
      </c>
      <c r="G5" t="s">
        <v>37</v>
      </c>
    </row>
    <row r="6" spans="1:7" x14ac:dyDescent="0.35">
      <c r="A6" t="s">
        <v>40</v>
      </c>
      <c r="B6" t="s">
        <v>35</v>
      </c>
      <c r="C6">
        <v>0.4</v>
      </c>
      <c r="D6" t="s">
        <v>41</v>
      </c>
      <c r="E6">
        <v>0.1</v>
      </c>
      <c r="F6">
        <v>4</v>
      </c>
      <c r="G6" t="s">
        <v>42</v>
      </c>
    </row>
    <row r="7" spans="1:7" x14ac:dyDescent="0.35">
      <c r="A7" t="s">
        <v>43</v>
      </c>
      <c r="B7" t="s">
        <v>35</v>
      </c>
      <c r="C7">
        <v>0.4</v>
      </c>
      <c r="D7" t="s">
        <v>44</v>
      </c>
      <c r="E7">
        <v>0.1</v>
      </c>
      <c r="F7">
        <v>1</v>
      </c>
      <c r="G7" t="s">
        <v>45</v>
      </c>
    </row>
    <row r="8" spans="1:7" x14ac:dyDescent="0.35">
      <c r="A8" t="s">
        <v>46</v>
      </c>
      <c r="B8" t="s">
        <v>35</v>
      </c>
      <c r="C8">
        <v>0.4</v>
      </c>
      <c r="D8" t="s">
        <v>47</v>
      </c>
      <c r="E8">
        <v>0.1</v>
      </c>
      <c r="F8">
        <v>5</v>
      </c>
      <c r="G8" t="s">
        <v>29</v>
      </c>
    </row>
    <row r="9" spans="1:7" x14ac:dyDescent="0.35">
      <c r="A9" t="s">
        <v>48</v>
      </c>
      <c r="B9" t="s">
        <v>35</v>
      </c>
      <c r="C9">
        <v>0.4</v>
      </c>
      <c r="D9" t="s">
        <v>49</v>
      </c>
      <c r="E9">
        <v>0.3</v>
      </c>
      <c r="F9">
        <v>5</v>
      </c>
      <c r="G9" t="s">
        <v>29</v>
      </c>
    </row>
    <row r="10" spans="1:7" x14ac:dyDescent="0.35">
      <c r="A10" t="s">
        <v>50</v>
      </c>
      <c r="B10" t="s">
        <v>51</v>
      </c>
      <c r="C10">
        <v>0.23</v>
      </c>
      <c r="D10" t="s">
        <v>52</v>
      </c>
      <c r="E10">
        <v>0.95</v>
      </c>
      <c r="F10">
        <v>5</v>
      </c>
      <c r="G10" t="s">
        <v>29</v>
      </c>
    </row>
    <row r="11" spans="1:7" x14ac:dyDescent="0.35">
      <c r="A11" t="s">
        <v>53</v>
      </c>
      <c r="B11" t="s">
        <v>51</v>
      </c>
      <c r="C11">
        <v>0.23</v>
      </c>
      <c r="D11" t="s">
        <v>54</v>
      </c>
      <c r="E11">
        <v>0.05</v>
      </c>
      <c r="F11">
        <v>5</v>
      </c>
      <c r="G11" t="s">
        <v>29</v>
      </c>
    </row>
    <row r="12" spans="1:7" x14ac:dyDescent="0.35">
      <c r="A12" t="s">
        <v>55</v>
      </c>
      <c r="B12" t="s">
        <v>56</v>
      </c>
      <c r="C12">
        <v>0.02</v>
      </c>
      <c r="D12" t="s">
        <v>57</v>
      </c>
      <c r="E12">
        <v>1</v>
      </c>
      <c r="F12">
        <v>5</v>
      </c>
      <c r="G12" t="s">
        <v>29</v>
      </c>
    </row>
    <row r="13" spans="1:7" x14ac:dyDescent="0.35">
      <c r="A13" t="s">
        <v>58</v>
      </c>
      <c r="B13" t="s">
        <v>59</v>
      </c>
      <c r="C13">
        <v>0.05</v>
      </c>
      <c r="D13" t="s">
        <v>60</v>
      </c>
      <c r="E13">
        <v>0.25</v>
      </c>
      <c r="F13">
        <v>12</v>
      </c>
      <c r="G13" t="s">
        <v>61</v>
      </c>
    </row>
    <row r="14" spans="1:7" x14ac:dyDescent="0.35">
      <c r="A14" t="s">
        <v>62</v>
      </c>
      <c r="B14" t="s">
        <v>59</v>
      </c>
      <c r="C14">
        <v>0.05</v>
      </c>
      <c r="D14" t="s">
        <v>63</v>
      </c>
      <c r="E14">
        <v>0.25</v>
      </c>
      <c r="F14">
        <v>1</v>
      </c>
      <c r="G14" t="s">
        <v>37</v>
      </c>
    </row>
    <row r="15" spans="1:7" x14ac:dyDescent="0.35">
      <c r="A15" t="s">
        <v>64</v>
      </c>
      <c r="B15" t="s">
        <v>59</v>
      </c>
      <c r="C15">
        <v>0.05</v>
      </c>
      <c r="D15" t="s">
        <v>65</v>
      </c>
      <c r="E15">
        <v>0.1</v>
      </c>
      <c r="F15">
        <v>36</v>
      </c>
      <c r="G15" t="s">
        <v>61</v>
      </c>
    </row>
    <row r="16" spans="1:7" x14ac:dyDescent="0.35">
      <c r="A16" t="s">
        <v>66</v>
      </c>
      <c r="B16" t="s">
        <v>59</v>
      </c>
      <c r="C16">
        <v>0.05</v>
      </c>
      <c r="D16" t="s">
        <v>67</v>
      </c>
      <c r="E16">
        <v>0.2</v>
      </c>
      <c r="F16">
        <v>4</v>
      </c>
      <c r="G16" t="s">
        <v>61</v>
      </c>
    </row>
    <row r="17" spans="1:7" x14ac:dyDescent="0.35">
      <c r="A17" t="s">
        <v>68</v>
      </c>
      <c r="B17" t="s">
        <v>59</v>
      </c>
      <c r="C17">
        <v>0.05</v>
      </c>
      <c r="D17" t="s">
        <v>69</v>
      </c>
      <c r="E17">
        <v>0.2</v>
      </c>
      <c r="F17">
        <v>5</v>
      </c>
      <c r="G17"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B395-EE3A-4D2F-8388-C1457CFE2FD1}">
  <dimension ref="A1:L26"/>
  <sheetViews>
    <sheetView tabSelected="1" topLeftCell="A19" workbookViewId="0">
      <selection activeCell="F21" sqref="F21"/>
    </sheetView>
  </sheetViews>
  <sheetFormatPr defaultRowHeight="14.5" x14ac:dyDescent="0.35"/>
  <cols>
    <col min="1" max="1" width="12.81640625" customWidth="1"/>
    <col min="2" max="2" width="14.90625" customWidth="1"/>
    <col min="3" max="3" width="21.90625" customWidth="1"/>
    <col min="4" max="4" width="23.453125" customWidth="1"/>
    <col min="6" max="6" width="15.1796875" customWidth="1"/>
    <col min="7" max="7" width="17.7265625" customWidth="1"/>
    <col min="8" max="8" width="20.90625" customWidth="1"/>
    <col min="10" max="10" width="23.7265625" customWidth="1"/>
    <col min="11" max="11" width="17.453125" customWidth="1"/>
    <col min="12" max="12" width="17.81640625" customWidth="1"/>
  </cols>
  <sheetData>
    <row r="1" spans="1:12" x14ac:dyDescent="0.35">
      <c r="A1" s="7" t="s">
        <v>180</v>
      </c>
      <c r="B1" s="7" t="s">
        <v>185</v>
      </c>
      <c r="C1" s="7" t="s">
        <v>108</v>
      </c>
      <c r="D1" s="7" t="s">
        <v>184</v>
      </c>
      <c r="E1" s="7" t="s">
        <v>109</v>
      </c>
      <c r="F1" s="7" t="s">
        <v>110</v>
      </c>
      <c r="G1" s="7" t="s">
        <v>111</v>
      </c>
      <c r="H1" s="7" t="s">
        <v>112</v>
      </c>
      <c r="I1" s="7" t="s">
        <v>113</v>
      </c>
      <c r="J1" s="11" t="s">
        <v>181</v>
      </c>
      <c r="K1" s="7" t="s">
        <v>182</v>
      </c>
      <c r="L1" s="7" t="s">
        <v>183</v>
      </c>
    </row>
    <row r="2" spans="1:12" ht="29" x14ac:dyDescent="0.35">
      <c r="A2">
        <v>1</v>
      </c>
      <c r="B2" s="8" t="s">
        <v>114</v>
      </c>
      <c r="C2" s="8" t="s">
        <v>115</v>
      </c>
      <c r="D2" s="8" t="s">
        <v>116</v>
      </c>
      <c r="E2" s="8"/>
      <c r="F2" s="9">
        <v>46023</v>
      </c>
      <c r="G2" s="9">
        <v>46387</v>
      </c>
      <c r="H2" s="9">
        <v>24791</v>
      </c>
      <c r="J2" t="s">
        <v>5</v>
      </c>
      <c r="L2" s="8" t="s">
        <v>176</v>
      </c>
    </row>
    <row r="3" spans="1:12" ht="29" x14ac:dyDescent="0.35">
      <c r="A3">
        <v>2</v>
      </c>
      <c r="B3" s="8" t="s">
        <v>117</v>
      </c>
      <c r="C3" s="8" t="s">
        <v>118</v>
      </c>
      <c r="D3" s="8" t="s">
        <v>119</v>
      </c>
      <c r="E3" s="8"/>
      <c r="F3" s="9">
        <v>46062</v>
      </c>
      <c r="G3" s="9">
        <v>46426</v>
      </c>
      <c r="H3" s="9">
        <v>36190</v>
      </c>
      <c r="J3" s="12" t="s">
        <v>178</v>
      </c>
      <c r="K3" t="s">
        <v>179</v>
      </c>
      <c r="L3" s="8" t="s">
        <v>167</v>
      </c>
    </row>
    <row r="4" spans="1:12" ht="29" x14ac:dyDescent="0.35">
      <c r="A4">
        <v>3</v>
      </c>
      <c r="B4" s="8" t="s">
        <v>8</v>
      </c>
      <c r="C4" s="8" t="s">
        <v>173</v>
      </c>
      <c r="D4" s="8" t="s">
        <v>120</v>
      </c>
      <c r="E4" s="8"/>
      <c r="F4" s="9">
        <v>46204</v>
      </c>
      <c r="G4" s="9">
        <v>46418</v>
      </c>
      <c r="H4" s="9">
        <v>34452</v>
      </c>
      <c r="J4" t="s">
        <v>5</v>
      </c>
      <c r="K4" t="s">
        <v>6</v>
      </c>
      <c r="L4" s="8" t="s">
        <v>176</v>
      </c>
    </row>
    <row r="5" spans="1:12" ht="29" x14ac:dyDescent="0.35">
      <c r="A5">
        <v>4</v>
      </c>
      <c r="B5" s="8" t="s">
        <v>121</v>
      </c>
      <c r="C5" s="8" t="s">
        <v>122</v>
      </c>
      <c r="D5" s="8" t="s">
        <v>123</v>
      </c>
      <c r="E5" s="8"/>
      <c r="F5" s="8"/>
      <c r="G5" s="8"/>
      <c r="H5" s="8"/>
      <c r="J5" t="s">
        <v>5</v>
      </c>
      <c r="L5" s="8" t="s">
        <v>175</v>
      </c>
    </row>
    <row r="6" spans="1:12" ht="29" x14ac:dyDescent="0.35">
      <c r="A6">
        <v>5</v>
      </c>
      <c r="B6" s="8" t="s">
        <v>124</v>
      </c>
      <c r="C6" s="8"/>
      <c r="D6" s="8"/>
      <c r="E6" s="8"/>
      <c r="F6" s="9">
        <v>46204</v>
      </c>
      <c r="G6" s="8"/>
      <c r="H6" s="8"/>
      <c r="J6" t="s">
        <v>5</v>
      </c>
      <c r="K6" t="s">
        <v>6</v>
      </c>
      <c r="L6" s="8" t="s">
        <v>176</v>
      </c>
    </row>
    <row r="7" spans="1:12" ht="29" x14ac:dyDescent="0.35">
      <c r="A7">
        <v>6</v>
      </c>
      <c r="B7" s="8" t="s">
        <v>125</v>
      </c>
      <c r="C7" s="8" t="s">
        <v>126</v>
      </c>
      <c r="D7" s="8" t="s">
        <v>127</v>
      </c>
      <c r="E7" s="8"/>
      <c r="F7" s="9">
        <v>46023</v>
      </c>
      <c r="G7" s="9">
        <v>46387</v>
      </c>
      <c r="H7" s="9">
        <v>36680</v>
      </c>
      <c r="J7" s="12" t="s">
        <v>178</v>
      </c>
      <c r="K7" t="s">
        <v>6</v>
      </c>
      <c r="L7" s="8" t="s">
        <v>167</v>
      </c>
    </row>
    <row r="8" spans="1:12" ht="29" x14ac:dyDescent="0.35">
      <c r="A8">
        <v>7</v>
      </c>
      <c r="B8" s="8" t="s">
        <v>128</v>
      </c>
      <c r="C8" s="8" t="s">
        <v>129</v>
      </c>
      <c r="D8" s="8" t="s">
        <v>130</v>
      </c>
      <c r="E8" s="8"/>
      <c r="F8" s="8"/>
      <c r="G8" s="8"/>
      <c r="H8" s="8"/>
      <c r="J8" s="12" t="s">
        <v>178</v>
      </c>
      <c r="K8" t="s">
        <v>6</v>
      </c>
      <c r="L8" s="8" t="s">
        <v>167</v>
      </c>
    </row>
    <row r="9" spans="1:12" ht="29" x14ac:dyDescent="0.35">
      <c r="A9">
        <v>8</v>
      </c>
      <c r="B9" s="8" t="s">
        <v>131</v>
      </c>
      <c r="C9" s="8"/>
      <c r="D9" s="8" t="s">
        <v>132</v>
      </c>
      <c r="E9" s="8"/>
      <c r="F9" s="9">
        <v>46204</v>
      </c>
      <c r="G9" s="8"/>
      <c r="H9" s="9">
        <v>36182</v>
      </c>
      <c r="J9" t="s">
        <v>5</v>
      </c>
      <c r="K9" t="s">
        <v>6</v>
      </c>
      <c r="L9" s="8" t="s">
        <v>176</v>
      </c>
    </row>
    <row r="10" spans="1:12" ht="29" x14ac:dyDescent="0.35">
      <c r="A10">
        <v>9</v>
      </c>
      <c r="B10" s="8" t="s">
        <v>133</v>
      </c>
      <c r="C10" s="8" t="s">
        <v>126</v>
      </c>
      <c r="D10" s="8" t="s">
        <v>134</v>
      </c>
      <c r="E10" s="8"/>
      <c r="F10" s="9">
        <v>45962</v>
      </c>
      <c r="G10" s="9">
        <v>46326</v>
      </c>
      <c r="H10" s="9">
        <v>36941</v>
      </c>
      <c r="J10" s="10" t="s">
        <v>178</v>
      </c>
      <c r="K10" t="s">
        <v>6</v>
      </c>
    </row>
    <row r="11" spans="1:12" ht="29" x14ac:dyDescent="0.35">
      <c r="A11">
        <v>10</v>
      </c>
      <c r="B11" s="8" t="s">
        <v>135</v>
      </c>
      <c r="C11" s="8" t="s">
        <v>136</v>
      </c>
      <c r="D11" s="8" t="s">
        <v>137</v>
      </c>
      <c r="E11" s="8"/>
      <c r="F11" s="9">
        <v>46174</v>
      </c>
      <c r="G11" s="9">
        <v>46477</v>
      </c>
      <c r="H11" s="9">
        <v>34785</v>
      </c>
      <c r="J11" t="s">
        <v>5</v>
      </c>
      <c r="K11" t="s">
        <v>6</v>
      </c>
      <c r="L11" s="8" t="s">
        <v>176</v>
      </c>
    </row>
    <row r="12" spans="1:12" ht="29" x14ac:dyDescent="0.35">
      <c r="A12">
        <v>11</v>
      </c>
      <c r="B12" s="8" t="s">
        <v>138</v>
      </c>
      <c r="C12" s="8" t="s">
        <v>139</v>
      </c>
      <c r="D12" s="8" t="s">
        <v>140</v>
      </c>
      <c r="E12" s="8"/>
      <c r="F12" s="9">
        <v>37043</v>
      </c>
      <c r="G12" s="8"/>
      <c r="H12" s="9">
        <v>23795</v>
      </c>
      <c r="J12" s="12" t="s">
        <v>178</v>
      </c>
      <c r="K12" t="s">
        <v>6</v>
      </c>
    </row>
    <row r="13" spans="1:12" ht="29" x14ac:dyDescent="0.35">
      <c r="A13">
        <v>12</v>
      </c>
      <c r="B13" s="8" t="s">
        <v>141</v>
      </c>
      <c r="C13" s="8" t="s">
        <v>142</v>
      </c>
      <c r="D13" s="8" t="s">
        <v>143</v>
      </c>
      <c r="E13" s="8"/>
      <c r="F13" s="9">
        <v>45047</v>
      </c>
      <c r="G13" s="8"/>
      <c r="H13" s="9">
        <v>28710</v>
      </c>
      <c r="J13" s="12" t="s">
        <v>178</v>
      </c>
      <c r="K13" t="s">
        <v>6</v>
      </c>
      <c r="L13" s="8" t="s">
        <v>175</v>
      </c>
    </row>
    <row r="14" spans="1:12" ht="29" x14ac:dyDescent="0.35">
      <c r="A14">
        <v>15</v>
      </c>
      <c r="B14" s="8" t="s">
        <v>144</v>
      </c>
      <c r="C14" s="8" t="s">
        <v>136</v>
      </c>
      <c r="D14" s="8" t="s">
        <v>145</v>
      </c>
      <c r="E14" s="8"/>
      <c r="F14" s="8"/>
      <c r="G14" s="8"/>
      <c r="H14" s="8"/>
      <c r="J14" t="s">
        <v>5</v>
      </c>
      <c r="K14" t="s">
        <v>6</v>
      </c>
      <c r="L14" s="8" t="s">
        <v>176</v>
      </c>
    </row>
    <row r="15" spans="1:12" ht="29" x14ac:dyDescent="0.35">
      <c r="A15">
        <v>16</v>
      </c>
      <c r="B15" s="8" t="s">
        <v>146</v>
      </c>
      <c r="C15" s="8" t="s">
        <v>147</v>
      </c>
      <c r="D15" s="8" t="s">
        <v>148</v>
      </c>
      <c r="E15" s="8"/>
      <c r="F15" s="9">
        <v>44743</v>
      </c>
      <c r="G15" s="8"/>
      <c r="H15" s="9">
        <v>28239</v>
      </c>
      <c r="J15" t="s">
        <v>5</v>
      </c>
      <c r="K15" t="s">
        <v>6</v>
      </c>
      <c r="L15" s="8" t="s">
        <v>176</v>
      </c>
    </row>
    <row r="16" spans="1:12" ht="29" x14ac:dyDescent="0.35">
      <c r="A16">
        <v>17</v>
      </c>
      <c r="B16" s="8" t="s">
        <v>149</v>
      </c>
      <c r="C16" s="8" t="s">
        <v>126</v>
      </c>
      <c r="D16" s="8" t="s">
        <v>150</v>
      </c>
      <c r="E16" s="8"/>
      <c r="F16" s="9">
        <v>46174</v>
      </c>
      <c r="G16" s="9">
        <v>46538</v>
      </c>
      <c r="H16" s="9">
        <v>35713</v>
      </c>
      <c r="J16" s="12" t="s">
        <v>178</v>
      </c>
      <c r="K16" t="s">
        <v>179</v>
      </c>
      <c r="L16" s="8" t="s">
        <v>167</v>
      </c>
    </row>
    <row r="17" spans="1:12" ht="29" x14ac:dyDescent="0.35">
      <c r="A17">
        <v>18</v>
      </c>
      <c r="B17" s="8" t="s">
        <v>176</v>
      </c>
      <c r="C17" s="8" t="s">
        <v>177</v>
      </c>
      <c r="D17" s="8" t="s">
        <v>151</v>
      </c>
      <c r="E17" s="8"/>
      <c r="F17" s="9">
        <v>45931</v>
      </c>
      <c r="G17" s="8"/>
      <c r="H17" s="9">
        <v>24994</v>
      </c>
      <c r="J17" s="12" t="s">
        <v>178</v>
      </c>
      <c r="K17" t="s">
        <v>179</v>
      </c>
      <c r="L17" s="8" t="s">
        <v>175</v>
      </c>
    </row>
    <row r="18" spans="1:12" ht="29" x14ac:dyDescent="0.35">
      <c r="A18">
        <v>19</v>
      </c>
      <c r="B18" s="8" t="s">
        <v>152</v>
      </c>
      <c r="C18" s="8" t="s">
        <v>153</v>
      </c>
      <c r="D18" s="8" t="s">
        <v>154</v>
      </c>
      <c r="E18" s="8"/>
      <c r="F18" s="9">
        <v>46167</v>
      </c>
      <c r="G18" s="9">
        <v>46623</v>
      </c>
      <c r="H18" s="9">
        <v>37473</v>
      </c>
      <c r="J18" t="s">
        <v>5</v>
      </c>
      <c r="K18" t="s">
        <v>6</v>
      </c>
      <c r="L18" s="8" t="s">
        <v>176</v>
      </c>
    </row>
    <row r="19" spans="1:12" ht="29" x14ac:dyDescent="0.35">
      <c r="A19">
        <v>20</v>
      </c>
      <c r="B19" s="8" t="s">
        <v>155</v>
      </c>
      <c r="C19" s="8" t="s">
        <v>174</v>
      </c>
      <c r="D19" s="8" t="s">
        <v>156</v>
      </c>
      <c r="E19" s="8"/>
      <c r="F19" s="9">
        <v>45668</v>
      </c>
      <c r="G19" s="9">
        <v>46326</v>
      </c>
      <c r="H19" s="9">
        <v>35590</v>
      </c>
      <c r="J19" t="s">
        <v>5</v>
      </c>
      <c r="K19" t="s">
        <v>6</v>
      </c>
      <c r="L19" s="8" t="s">
        <v>176</v>
      </c>
    </row>
    <row r="20" spans="1:12" ht="29" x14ac:dyDescent="0.35">
      <c r="A20">
        <v>21</v>
      </c>
      <c r="B20" s="8" t="s">
        <v>157</v>
      </c>
      <c r="C20" s="8" t="s">
        <v>158</v>
      </c>
      <c r="D20" s="8" t="s">
        <v>159</v>
      </c>
      <c r="E20" s="8"/>
      <c r="F20" s="9">
        <v>46057</v>
      </c>
      <c r="G20" s="9">
        <v>46423</v>
      </c>
      <c r="H20" s="9">
        <v>34977</v>
      </c>
      <c r="J20" s="12" t="s">
        <v>178</v>
      </c>
      <c r="K20" t="s">
        <v>6</v>
      </c>
      <c r="L20" s="8" t="s">
        <v>167</v>
      </c>
    </row>
    <row r="21" spans="1:12" ht="29" x14ac:dyDescent="0.35">
      <c r="A21">
        <v>22</v>
      </c>
      <c r="B21" s="8" t="s">
        <v>160</v>
      </c>
      <c r="C21" s="8" t="s">
        <v>161</v>
      </c>
      <c r="D21" s="8" t="s">
        <v>162</v>
      </c>
      <c r="E21" s="8"/>
      <c r="F21" s="9">
        <v>46113</v>
      </c>
      <c r="G21" s="9">
        <v>46477</v>
      </c>
      <c r="H21" s="9">
        <v>34145</v>
      </c>
      <c r="J21" s="12" t="s">
        <v>178</v>
      </c>
      <c r="K21" t="s">
        <v>6</v>
      </c>
      <c r="L21" s="8" t="s">
        <v>167</v>
      </c>
    </row>
    <row r="22" spans="1:12" ht="29" x14ac:dyDescent="0.35">
      <c r="A22">
        <v>23</v>
      </c>
      <c r="B22" s="8" t="s">
        <v>163</v>
      </c>
      <c r="C22" s="8" t="s">
        <v>126</v>
      </c>
      <c r="D22" s="8" t="s">
        <v>164</v>
      </c>
      <c r="E22" s="8"/>
      <c r="F22" s="9">
        <v>46023</v>
      </c>
      <c r="G22" s="9">
        <v>46265</v>
      </c>
      <c r="H22" s="9">
        <v>35167</v>
      </c>
      <c r="J22" s="12" t="s">
        <v>178</v>
      </c>
      <c r="K22" t="s">
        <v>179</v>
      </c>
      <c r="L22" s="8" t="s">
        <v>167</v>
      </c>
    </row>
    <row r="23" spans="1:12" ht="29" x14ac:dyDescent="0.35">
      <c r="A23">
        <v>25</v>
      </c>
      <c r="B23" s="8" t="s">
        <v>165</v>
      </c>
      <c r="C23" s="8" t="s">
        <v>142</v>
      </c>
      <c r="D23" s="8" t="s">
        <v>166</v>
      </c>
      <c r="E23" s="8"/>
      <c r="F23" s="9">
        <v>37043</v>
      </c>
      <c r="G23" s="8"/>
      <c r="H23" s="9">
        <v>24232</v>
      </c>
      <c r="J23" s="12" t="s">
        <v>178</v>
      </c>
      <c r="K23" t="s">
        <v>6</v>
      </c>
    </row>
    <row r="24" spans="1:12" ht="29" x14ac:dyDescent="0.35">
      <c r="A24">
        <v>26</v>
      </c>
      <c r="B24" s="8" t="s">
        <v>167</v>
      </c>
      <c r="C24" s="8"/>
      <c r="D24" s="8" t="s">
        <v>168</v>
      </c>
      <c r="E24" s="8"/>
      <c r="F24" s="9">
        <v>46054</v>
      </c>
      <c r="G24" s="8"/>
      <c r="H24" s="8"/>
      <c r="J24" s="12" t="s">
        <v>178</v>
      </c>
      <c r="K24" t="s">
        <v>179</v>
      </c>
    </row>
    <row r="25" spans="1:12" ht="29" x14ac:dyDescent="0.35">
      <c r="A25">
        <v>27</v>
      </c>
      <c r="B25" s="8" t="s">
        <v>169</v>
      </c>
      <c r="C25" s="8" t="s">
        <v>158</v>
      </c>
      <c r="D25" s="8" t="s">
        <v>170</v>
      </c>
      <c r="E25" s="8"/>
      <c r="F25" s="9">
        <v>46054</v>
      </c>
      <c r="G25" s="9">
        <v>46418</v>
      </c>
      <c r="H25" s="9">
        <v>34955</v>
      </c>
      <c r="J25" s="12" t="s">
        <v>178</v>
      </c>
      <c r="K25" t="s">
        <v>179</v>
      </c>
      <c r="L25" s="8" t="s">
        <v>167</v>
      </c>
    </row>
    <row r="26" spans="1:12" ht="29" x14ac:dyDescent="0.35">
      <c r="A26">
        <v>28</v>
      </c>
      <c r="B26" s="8" t="s">
        <v>171</v>
      </c>
      <c r="C26" s="8" t="s">
        <v>158</v>
      </c>
      <c r="D26" s="8" t="s">
        <v>172</v>
      </c>
      <c r="E26" s="8"/>
      <c r="F26" s="9">
        <v>46143</v>
      </c>
      <c r="G26" s="9">
        <v>46265</v>
      </c>
      <c r="H26" s="8"/>
      <c r="J26" s="12" t="s">
        <v>178</v>
      </c>
      <c r="K26" t="s">
        <v>179</v>
      </c>
      <c r="L26" s="8" t="s">
        <v>167</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xr:uid="{614C31D0-DBC2-45EC-9B0A-FA9B498C5C58}">
          <x14:formula1>
            <xm:f>Lists!$A$2:$A$100</xm:f>
          </x14:formula1>
          <xm:sqref>J4:J6 J9 J11 J14:J15 J18:J19 J2</xm:sqref>
        </x14:dataValidation>
        <x14:dataValidation type="list" xr:uid="{B86334C2-277A-442E-BDB3-3DD970A30691}">
          <x14:formula1>
            <xm:f>Lists!$B$2:$B$100</xm:f>
          </x14:formula1>
          <xm:sqref>K3:K4 K6:K26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7"/>
  <sheetViews>
    <sheetView topLeftCell="G1" workbookViewId="0">
      <pane ySplit="1" topLeftCell="A9" activePane="bottomLeft" state="frozen"/>
      <selection pane="bottomLeft" activeCell="D6" sqref="D6"/>
    </sheetView>
  </sheetViews>
  <sheetFormatPr defaultRowHeight="14.5" x14ac:dyDescent="0.35"/>
  <cols>
    <col min="1" max="1" width="8" customWidth="1"/>
    <col min="2" max="2" width="14" customWidth="1"/>
    <col min="3" max="3" width="30.6328125" customWidth="1"/>
    <col min="4" max="5" width="18" customWidth="1"/>
    <col min="6" max="6" width="20" customWidth="1"/>
    <col min="7" max="7" width="10" customWidth="1"/>
    <col min="8" max="8" width="45" customWidth="1"/>
    <col min="9" max="9" width="26" customWidth="1"/>
    <col min="10" max="10" width="18" customWidth="1"/>
    <col min="11" max="13" width="10" customWidth="1"/>
    <col min="14" max="14" width="14" customWidth="1"/>
    <col min="15" max="16" width="12" customWidth="1"/>
    <col min="17" max="18" width="24" customWidth="1"/>
    <col min="19" max="19" width="10" customWidth="1"/>
  </cols>
  <sheetData>
    <row r="1" spans="1:19" x14ac:dyDescent="0.35">
      <c r="A1" s="2" t="s">
        <v>70</v>
      </c>
      <c r="B1" s="2" t="s">
        <v>71</v>
      </c>
      <c r="C1" s="2" t="s">
        <v>72</v>
      </c>
      <c r="D1" s="2" t="s">
        <v>73</v>
      </c>
      <c r="E1" s="2" t="s">
        <v>74</v>
      </c>
      <c r="F1" s="2" t="s">
        <v>75</v>
      </c>
      <c r="G1" s="2" t="s">
        <v>19</v>
      </c>
      <c r="H1" s="2" t="s">
        <v>22</v>
      </c>
      <c r="I1" s="2" t="s">
        <v>20</v>
      </c>
      <c r="J1" s="2" t="s">
        <v>21</v>
      </c>
      <c r="K1" s="2" t="s">
        <v>23</v>
      </c>
      <c r="L1" s="2" t="s">
        <v>24</v>
      </c>
      <c r="M1" s="2" t="s">
        <v>76</v>
      </c>
      <c r="N1" s="2" t="s">
        <v>77</v>
      </c>
      <c r="O1" s="2" t="s">
        <v>78</v>
      </c>
      <c r="P1" s="2" t="s">
        <v>79</v>
      </c>
      <c r="Q1" s="2" t="s">
        <v>80</v>
      </c>
      <c r="R1" s="2" t="s">
        <v>81</v>
      </c>
      <c r="S1" s="2" t="s">
        <v>82</v>
      </c>
    </row>
    <row r="2" spans="1:19" x14ac:dyDescent="0.35">
      <c r="A2">
        <f t="shared" ref="A2:A17" si="0">ROW()-1</f>
        <v>1</v>
      </c>
      <c r="B2" t="s">
        <v>7</v>
      </c>
      <c r="C2" t="s">
        <v>5</v>
      </c>
      <c r="D2" t="s">
        <v>6</v>
      </c>
      <c r="E2" t="s">
        <v>8</v>
      </c>
      <c r="F2" t="s">
        <v>9</v>
      </c>
      <c r="G2" t="s">
        <v>26</v>
      </c>
      <c r="H2" s="3" t="str">
        <f>_xlfn.SINGLE(_xlfn.XLOOKUP(G2, KPI_Definitions!A:A, KPI_Definitions!D:D, ""))</f>
        <v>Customer Satisfaction Survey score</v>
      </c>
      <c r="I2" s="3" t="str">
        <f>_xlfn.SINGLE(_xlfn.XLOOKUP(G2, KPI_Definitions!A:A, KPI_Definitions!B:B, ""))</f>
        <v>Customers/Stakeholders</v>
      </c>
      <c r="J2">
        <f>_xlfn.SINGLE(_xlfn.XLOOKUP(G2, KPI_Definitions!A:A, KPI_Definitions!C:C, ""))</f>
        <v>0.1</v>
      </c>
      <c r="K2">
        <f>_xlfn.SINGLE(_xlfn.XLOOKUP(G2, KPI_Definitions!A:A, KPI_Definitions!E:E, ""))</f>
        <v>1</v>
      </c>
      <c r="L2">
        <f>_xlfn.SINGLE(_xlfn.XLOOKUP(G2, KPI_Definitions!A:A, KPI_Definitions!F:F, ""))</f>
        <v>5</v>
      </c>
      <c r="N2">
        <f t="shared" ref="N2:N17" si="1">IFERROR(M2/L2,"")</f>
        <v>0</v>
      </c>
      <c r="O2">
        <f t="shared" ref="O2:O17" si="2">IF(N2="","",IF(N2&lt;0.5,1,IF(N2&lt;0.7,2,IF(N2&lt;0.9,3,IF(N2&lt;1.1,4,5)))))</f>
        <v>1</v>
      </c>
      <c r="P2">
        <f t="shared" ref="P2:P17" si="3">IF(O2="","",O2*J2*K2)</f>
        <v>0.1</v>
      </c>
      <c r="Q2" s="3"/>
      <c r="R2" s="3"/>
      <c r="S2" t="s">
        <v>83</v>
      </c>
    </row>
    <row r="3" spans="1:19" x14ac:dyDescent="0.35">
      <c r="A3">
        <f t="shared" si="0"/>
        <v>2</v>
      </c>
      <c r="B3" t="s">
        <v>7</v>
      </c>
      <c r="C3" t="s">
        <v>5</v>
      </c>
      <c r="D3" t="s">
        <v>6</v>
      </c>
      <c r="E3" t="s">
        <v>8</v>
      </c>
      <c r="F3" t="s">
        <v>9</v>
      </c>
      <c r="G3" t="s">
        <v>30</v>
      </c>
      <c r="H3" s="3" t="str">
        <f>_xlfn.SINGLE(_xlfn.XLOOKUP(G3, KPI_Definitions!A:A, KPI_Definitions!D:D, ""))</f>
        <v>Collection for the month in UGX</v>
      </c>
      <c r="I3" s="3" t="str">
        <f>_xlfn.SINGLE(_xlfn.XLOOKUP(G3, KPI_Definitions!A:A, KPI_Definitions!B:B, ""))</f>
        <v>Financial</v>
      </c>
      <c r="J3">
        <f>_xlfn.SINGLE(_xlfn.XLOOKUP(G3, KPI_Definitions!A:A, KPI_Definitions!C:C, ""))</f>
        <v>0.2</v>
      </c>
      <c r="K3">
        <f>_xlfn.SINGLE(_xlfn.XLOOKUP(G3, KPI_Definitions!A:A, KPI_Definitions!E:E, ""))</f>
        <v>1</v>
      </c>
      <c r="L3">
        <f>_xlfn.SINGLE(_xlfn.XLOOKUP(G3, KPI_Definitions!A:A, KPI_Definitions!F:F, ""))</f>
        <v>20000000</v>
      </c>
      <c r="N3">
        <f t="shared" si="1"/>
        <v>0</v>
      </c>
      <c r="O3">
        <f t="shared" si="2"/>
        <v>1</v>
      </c>
      <c r="P3">
        <f t="shared" si="3"/>
        <v>0.2</v>
      </c>
      <c r="Q3" s="3"/>
      <c r="R3" s="3"/>
      <c r="S3" t="s">
        <v>83</v>
      </c>
    </row>
    <row r="4" spans="1:19" x14ac:dyDescent="0.35">
      <c r="A4">
        <f t="shared" si="0"/>
        <v>3</v>
      </c>
      <c r="B4" t="s">
        <v>7</v>
      </c>
      <c r="C4" t="s">
        <v>5</v>
      </c>
      <c r="D4" t="s">
        <v>6</v>
      </c>
      <c r="E4" t="s">
        <v>8</v>
      </c>
      <c r="F4" t="s">
        <v>9</v>
      </c>
      <c r="G4" t="s">
        <v>34</v>
      </c>
      <c r="H4" s="3" t="str">
        <f>_xlfn.SINGLE(_xlfn.XLOOKUP(G4, KPI_Definitions!A:A, KPI_Definitions!D:D, ""))</f>
        <v>No. of business referrals provided</v>
      </c>
      <c r="I4" s="3" t="str">
        <f>_xlfn.SINGLE(_xlfn.XLOOKUP(G4, KPI_Definitions!A:A, KPI_Definitions!B:B, ""))</f>
        <v>Internal Business Process</v>
      </c>
      <c r="J4">
        <f>_xlfn.SINGLE(_xlfn.XLOOKUP(G4, KPI_Definitions!A:A, KPI_Definitions!C:C, ""))</f>
        <v>0.4</v>
      </c>
      <c r="K4">
        <f>_xlfn.SINGLE(_xlfn.XLOOKUP(G4, KPI_Definitions!A:A, KPI_Definitions!E:E, ""))</f>
        <v>0.1</v>
      </c>
      <c r="L4">
        <f>_xlfn.SINGLE(_xlfn.XLOOKUP(G4, KPI_Definitions!A:A, KPI_Definitions!F:F, ""))</f>
        <v>1</v>
      </c>
      <c r="N4">
        <f t="shared" si="1"/>
        <v>0</v>
      </c>
      <c r="O4">
        <f t="shared" si="2"/>
        <v>1</v>
      </c>
      <c r="P4">
        <f t="shared" si="3"/>
        <v>4.0000000000000008E-2</v>
      </c>
      <c r="Q4" s="3"/>
      <c r="R4" s="3"/>
      <c r="S4" t="s">
        <v>83</v>
      </c>
    </row>
    <row r="5" spans="1:19" x14ac:dyDescent="0.35">
      <c r="A5">
        <f t="shared" si="0"/>
        <v>4</v>
      </c>
      <c r="B5" t="s">
        <v>7</v>
      </c>
      <c r="C5" t="s">
        <v>5</v>
      </c>
      <c r="D5" t="s">
        <v>6</v>
      </c>
      <c r="E5" t="s">
        <v>8</v>
      </c>
      <c r="F5" t="s">
        <v>9</v>
      </c>
      <c r="G5" t="s">
        <v>38</v>
      </c>
      <c r="H5" s="3" t="str">
        <f>_xlfn.SINGLE(_xlfn.XLOOKUP(G5, KPI_Definitions!A:A, KPI_Definitions!D:D, ""))</f>
        <v>No. of clients got (business closed)</v>
      </c>
      <c r="I5" s="3" t="str">
        <f>_xlfn.SINGLE(_xlfn.XLOOKUP(G5, KPI_Definitions!A:A, KPI_Definitions!B:B, ""))</f>
        <v>Internal Business Process</v>
      </c>
      <c r="J5">
        <f>_xlfn.SINGLE(_xlfn.XLOOKUP(G5, KPI_Definitions!A:A, KPI_Definitions!C:C, ""))</f>
        <v>0.4</v>
      </c>
      <c r="K5">
        <f>_xlfn.SINGLE(_xlfn.XLOOKUP(G5, KPI_Definitions!A:A, KPI_Definitions!E:E, ""))</f>
        <v>0.3</v>
      </c>
      <c r="L5">
        <f>_xlfn.SINGLE(_xlfn.XLOOKUP(G5, KPI_Definitions!A:A, KPI_Definitions!F:F, ""))</f>
        <v>1</v>
      </c>
      <c r="N5">
        <f t="shared" si="1"/>
        <v>0</v>
      </c>
      <c r="O5">
        <f t="shared" si="2"/>
        <v>1</v>
      </c>
      <c r="P5">
        <f t="shared" si="3"/>
        <v>0.12</v>
      </c>
      <c r="Q5" s="3"/>
      <c r="R5" s="3"/>
      <c r="S5" t="s">
        <v>83</v>
      </c>
    </row>
    <row r="6" spans="1:19" x14ac:dyDescent="0.35">
      <c r="A6">
        <f t="shared" si="0"/>
        <v>5</v>
      </c>
      <c r="B6" t="s">
        <v>7</v>
      </c>
      <c r="C6" t="s">
        <v>5</v>
      </c>
      <c r="D6" t="s">
        <v>6</v>
      </c>
      <c r="E6" t="s">
        <v>8</v>
      </c>
      <c r="F6" t="s">
        <v>9</v>
      </c>
      <c r="G6" t="s">
        <v>40</v>
      </c>
      <c r="H6" s="3" t="str">
        <f>_xlfn.SINGLE(_xlfn.XLOOKUP(G6, KPI_Definitions!A:A, KPI_Definitions!D:D, ""))</f>
        <v>Timely submission of weekly accountability reports</v>
      </c>
      <c r="I6" s="3" t="str">
        <f>_xlfn.SINGLE(_xlfn.XLOOKUP(G6, KPI_Definitions!A:A, KPI_Definitions!B:B, ""))</f>
        <v>Internal Business Process</v>
      </c>
      <c r="J6">
        <f>_xlfn.SINGLE(_xlfn.XLOOKUP(G6, KPI_Definitions!A:A, KPI_Definitions!C:C, ""))</f>
        <v>0.4</v>
      </c>
      <c r="K6">
        <f>_xlfn.SINGLE(_xlfn.XLOOKUP(G6, KPI_Definitions!A:A, KPI_Definitions!E:E, ""))</f>
        <v>0.1</v>
      </c>
      <c r="L6">
        <f>_xlfn.SINGLE(_xlfn.XLOOKUP(G6, KPI_Definitions!A:A, KPI_Definitions!F:F, ""))</f>
        <v>4</v>
      </c>
      <c r="N6">
        <f t="shared" si="1"/>
        <v>0</v>
      </c>
      <c r="O6">
        <f t="shared" si="2"/>
        <v>1</v>
      </c>
      <c r="P6">
        <f t="shared" si="3"/>
        <v>4.0000000000000008E-2</v>
      </c>
      <c r="Q6" s="3"/>
      <c r="R6" s="3"/>
      <c r="S6" t="s">
        <v>83</v>
      </c>
    </row>
    <row r="7" spans="1:19" x14ac:dyDescent="0.35">
      <c r="A7">
        <f t="shared" si="0"/>
        <v>6</v>
      </c>
      <c r="B7" t="s">
        <v>7</v>
      </c>
      <c r="C7" t="s">
        <v>5</v>
      </c>
      <c r="D7" t="s">
        <v>6</v>
      </c>
      <c r="E7" t="s">
        <v>8</v>
      </c>
      <c r="F7" t="s">
        <v>9</v>
      </c>
      <c r="G7" t="s">
        <v>43</v>
      </c>
      <c r="H7" s="3" t="str">
        <f>_xlfn.SINGLE(_xlfn.XLOOKUP(G7, KPI_Definitions!A:A, KPI_Definitions!D:D, ""))</f>
        <v>Timely submission of monthly Time Sheets</v>
      </c>
      <c r="I7" s="3" t="str">
        <f>_xlfn.SINGLE(_xlfn.XLOOKUP(G7, KPI_Definitions!A:A, KPI_Definitions!B:B, ""))</f>
        <v>Internal Business Process</v>
      </c>
      <c r="J7">
        <f>_xlfn.SINGLE(_xlfn.XLOOKUP(G7, KPI_Definitions!A:A, KPI_Definitions!C:C, ""))</f>
        <v>0.4</v>
      </c>
      <c r="K7">
        <f>_xlfn.SINGLE(_xlfn.XLOOKUP(G7, KPI_Definitions!A:A, KPI_Definitions!E:E, ""))</f>
        <v>0.1</v>
      </c>
      <c r="L7">
        <f>_xlfn.SINGLE(_xlfn.XLOOKUP(G7, KPI_Definitions!A:A, KPI_Definitions!F:F, ""))</f>
        <v>1</v>
      </c>
      <c r="N7">
        <f t="shared" si="1"/>
        <v>0</v>
      </c>
      <c r="O7">
        <f t="shared" si="2"/>
        <v>1</v>
      </c>
      <c r="P7">
        <f t="shared" si="3"/>
        <v>4.0000000000000008E-2</v>
      </c>
      <c r="Q7" s="3"/>
      <c r="R7" s="3"/>
      <c r="S7" t="s">
        <v>83</v>
      </c>
    </row>
    <row r="8" spans="1:19" x14ac:dyDescent="0.35">
      <c r="A8">
        <f t="shared" si="0"/>
        <v>7</v>
      </c>
      <c r="B8" t="s">
        <v>7</v>
      </c>
      <c r="C8" t="s">
        <v>5</v>
      </c>
      <c r="D8" t="s">
        <v>6</v>
      </c>
      <c r="E8" t="s">
        <v>8</v>
      </c>
      <c r="F8" t="s">
        <v>9</v>
      </c>
      <c r="G8" t="s">
        <v>46</v>
      </c>
      <c r="H8" s="3" t="str">
        <f>_xlfn.SINGLE(_xlfn.XLOOKUP(G8, KPI_Definitions!A:A, KPI_Definitions!D:D, ""))</f>
        <v>Timely completion of assignments</v>
      </c>
      <c r="I8" s="3" t="str">
        <f>_xlfn.SINGLE(_xlfn.XLOOKUP(G8, KPI_Definitions!A:A, KPI_Definitions!B:B, ""))</f>
        <v>Internal Business Process</v>
      </c>
      <c r="J8">
        <f>_xlfn.SINGLE(_xlfn.XLOOKUP(G8, KPI_Definitions!A:A, KPI_Definitions!C:C, ""))</f>
        <v>0.4</v>
      </c>
      <c r="K8">
        <f>_xlfn.SINGLE(_xlfn.XLOOKUP(G8, KPI_Definitions!A:A, KPI_Definitions!E:E, ""))</f>
        <v>0.1</v>
      </c>
      <c r="L8">
        <f>_xlfn.SINGLE(_xlfn.XLOOKUP(G8, KPI_Definitions!A:A, KPI_Definitions!F:F, ""))</f>
        <v>5</v>
      </c>
      <c r="N8">
        <f t="shared" si="1"/>
        <v>0</v>
      </c>
      <c r="O8">
        <f t="shared" si="2"/>
        <v>1</v>
      </c>
      <c r="P8">
        <f t="shared" si="3"/>
        <v>4.0000000000000008E-2</v>
      </c>
      <c r="Q8" s="3"/>
      <c r="R8" s="3"/>
      <c r="S8" t="s">
        <v>83</v>
      </c>
    </row>
    <row r="9" spans="1:19" x14ac:dyDescent="0.35">
      <c r="A9">
        <f t="shared" si="0"/>
        <v>8</v>
      </c>
      <c r="B9" t="s">
        <v>7</v>
      </c>
      <c r="C9" t="s">
        <v>5</v>
      </c>
      <c r="D9" t="s">
        <v>6</v>
      </c>
      <c r="E9" t="s">
        <v>8</v>
      </c>
      <c r="F9" t="s">
        <v>9</v>
      </c>
      <c r="G9" t="s">
        <v>48</v>
      </c>
      <c r="H9" s="3" t="str">
        <f>_xlfn.SINGLE(_xlfn.XLOOKUP(G9, KPI_Definitions!A:A, KPI_Definitions!D:D, ""))</f>
        <v>Quality of assignments handled (QCR results)</v>
      </c>
      <c r="I9" s="3" t="str">
        <f>_xlfn.SINGLE(_xlfn.XLOOKUP(G9, KPI_Definitions!A:A, KPI_Definitions!B:B, ""))</f>
        <v>Internal Business Process</v>
      </c>
      <c r="J9">
        <f>_xlfn.SINGLE(_xlfn.XLOOKUP(G9, KPI_Definitions!A:A, KPI_Definitions!C:C, ""))</f>
        <v>0.4</v>
      </c>
      <c r="K9">
        <f>_xlfn.SINGLE(_xlfn.XLOOKUP(G9, KPI_Definitions!A:A, KPI_Definitions!E:E, ""))</f>
        <v>0.3</v>
      </c>
      <c r="L9">
        <f>_xlfn.SINGLE(_xlfn.XLOOKUP(G9, KPI_Definitions!A:A, KPI_Definitions!F:F, ""))</f>
        <v>5</v>
      </c>
      <c r="N9">
        <f t="shared" si="1"/>
        <v>0</v>
      </c>
      <c r="O9">
        <f t="shared" si="2"/>
        <v>1</v>
      </c>
      <c r="P9">
        <f t="shared" si="3"/>
        <v>0.12</v>
      </c>
      <c r="Q9" s="3"/>
      <c r="R9" s="3"/>
      <c r="S9" t="s">
        <v>83</v>
      </c>
    </row>
    <row r="10" spans="1:19" x14ac:dyDescent="0.35">
      <c r="A10">
        <f t="shared" si="0"/>
        <v>9</v>
      </c>
      <c r="B10" t="s">
        <v>7</v>
      </c>
      <c r="C10" t="s">
        <v>5</v>
      </c>
      <c r="D10" t="s">
        <v>6</v>
      </c>
      <c r="E10" t="s">
        <v>8</v>
      </c>
      <c r="F10" t="s">
        <v>9</v>
      </c>
      <c r="G10" t="s">
        <v>50</v>
      </c>
      <c r="H10" s="3" t="str">
        <f>_xlfn.SINGLE(_xlfn.XLOOKUP(G10, KPI_Definitions!A:A, KPI_Definitions!D:D, ""))</f>
        <v>Time keeping - Score from Odoo Attendance App</v>
      </c>
      <c r="I10" s="3" t="str">
        <f>_xlfn.SINGLE(_xlfn.XLOOKUP(G10, KPI_Definitions!A:A, KPI_Definitions!B:B, ""))</f>
        <v>People and Culture</v>
      </c>
      <c r="J10">
        <f>_xlfn.SINGLE(_xlfn.XLOOKUP(G10, KPI_Definitions!A:A, KPI_Definitions!C:C, ""))</f>
        <v>0.23</v>
      </c>
      <c r="K10">
        <f>_xlfn.SINGLE(_xlfn.XLOOKUP(G10, KPI_Definitions!A:A, KPI_Definitions!E:E, ""))</f>
        <v>0.95</v>
      </c>
      <c r="L10">
        <f>_xlfn.SINGLE(_xlfn.XLOOKUP(G10, KPI_Definitions!A:A, KPI_Definitions!F:F, ""))</f>
        <v>5</v>
      </c>
      <c r="N10">
        <f t="shared" si="1"/>
        <v>0</v>
      </c>
      <c r="O10">
        <f t="shared" si="2"/>
        <v>1</v>
      </c>
      <c r="P10">
        <f t="shared" si="3"/>
        <v>0.2185</v>
      </c>
      <c r="Q10" s="3"/>
      <c r="R10" s="3"/>
      <c r="S10" t="s">
        <v>83</v>
      </c>
    </row>
    <row r="11" spans="1:19" ht="29" x14ac:dyDescent="0.35">
      <c r="A11">
        <f t="shared" si="0"/>
        <v>10</v>
      </c>
      <c r="B11" t="s">
        <v>7</v>
      </c>
      <c r="C11" t="s">
        <v>5</v>
      </c>
      <c r="D11" t="s">
        <v>6</v>
      </c>
      <c r="E11" t="s">
        <v>8</v>
      </c>
      <c r="F11" t="s">
        <v>9</v>
      </c>
      <c r="G11" t="s">
        <v>53</v>
      </c>
      <c r="H11" s="3" t="str">
        <f>_xlfn.SINGLE(_xlfn.XLOOKUP(G11, KPI_Definitions!A:A, KPI_Definitions!D:D, ""))</f>
        <v>Evidence of living the firm's Vision, Mission and Values</v>
      </c>
      <c r="I11" s="3" t="str">
        <f>_xlfn.SINGLE(_xlfn.XLOOKUP(G11, KPI_Definitions!A:A, KPI_Definitions!B:B, ""))</f>
        <v>People and Culture</v>
      </c>
      <c r="J11">
        <f>_xlfn.SINGLE(_xlfn.XLOOKUP(G11, KPI_Definitions!A:A, KPI_Definitions!C:C, ""))</f>
        <v>0.23</v>
      </c>
      <c r="K11">
        <f>_xlfn.SINGLE(_xlfn.XLOOKUP(G11, KPI_Definitions!A:A, KPI_Definitions!E:E, ""))</f>
        <v>0.05</v>
      </c>
      <c r="L11">
        <f>_xlfn.SINGLE(_xlfn.XLOOKUP(G11, KPI_Definitions!A:A, KPI_Definitions!F:F, ""))</f>
        <v>5</v>
      </c>
      <c r="N11">
        <f t="shared" si="1"/>
        <v>0</v>
      </c>
      <c r="O11">
        <f t="shared" si="2"/>
        <v>1</v>
      </c>
      <c r="P11">
        <f t="shared" si="3"/>
        <v>1.1500000000000002E-2</v>
      </c>
      <c r="Q11" s="3"/>
      <c r="R11" s="3"/>
      <c r="S11" t="s">
        <v>83</v>
      </c>
    </row>
    <row r="12" spans="1:19" ht="29" x14ac:dyDescent="0.35">
      <c r="A12">
        <f t="shared" si="0"/>
        <v>11</v>
      </c>
      <c r="B12" t="s">
        <v>7</v>
      </c>
      <c r="C12" t="s">
        <v>5</v>
      </c>
      <c r="D12" t="s">
        <v>6</v>
      </c>
      <c r="E12" t="s">
        <v>8</v>
      </c>
      <c r="F12" t="s">
        <v>9</v>
      </c>
      <c r="G12" t="s">
        <v>55</v>
      </c>
      <c r="H12" s="3" t="str">
        <f>_xlfn.SINGLE(_xlfn.XLOOKUP(G12, KPI_Definitions!A:A, KPI_Definitions!D:D, ""))</f>
        <v>Demonstrates support to the firm's ESG and Sustainability agenda</v>
      </c>
      <c r="I12" s="3" t="str">
        <f>_xlfn.SINGLE(_xlfn.XLOOKUP(G12, KPI_Definitions!A:A, KPI_Definitions!B:B, ""))</f>
        <v>ESG and Sustainability</v>
      </c>
      <c r="J12">
        <f>_xlfn.SINGLE(_xlfn.XLOOKUP(G12, KPI_Definitions!A:A, KPI_Definitions!C:C, ""))</f>
        <v>0.02</v>
      </c>
      <c r="K12">
        <f>_xlfn.SINGLE(_xlfn.XLOOKUP(G12, KPI_Definitions!A:A, KPI_Definitions!E:E, ""))</f>
        <v>1</v>
      </c>
      <c r="L12">
        <f>_xlfn.SINGLE(_xlfn.XLOOKUP(G12, KPI_Definitions!A:A, KPI_Definitions!F:F, ""))</f>
        <v>5</v>
      </c>
      <c r="N12">
        <f t="shared" si="1"/>
        <v>0</v>
      </c>
      <c r="O12">
        <f t="shared" si="2"/>
        <v>1</v>
      </c>
      <c r="P12">
        <f t="shared" si="3"/>
        <v>0.02</v>
      </c>
      <c r="Q12" s="3"/>
      <c r="R12" s="3"/>
      <c r="S12" t="s">
        <v>83</v>
      </c>
    </row>
    <row r="13" spans="1:19" x14ac:dyDescent="0.35">
      <c r="A13">
        <f t="shared" si="0"/>
        <v>12</v>
      </c>
      <c r="B13" t="s">
        <v>7</v>
      </c>
      <c r="C13" t="s">
        <v>5</v>
      </c>
      <c r="D13" t="s">
        <v>6</v>
      </c>
      <c r="E13" t="s">
        <v>8</v>
      </c>
      <c r="F13" t="s">
        <v>9</v>
      </c>
      <c r="G13" t="s">
        <v>58</v>
      </c>
      <c r="H13" s="3" t="str">
        <f>_xlfn.SINGLE(_xlfn.XLOOKUP(G13, KPI_Definitions!A:A, KPI_Definitions!D:D, ""))</f>
        <v>No. of hours committed to internal training</v>
      </c>
      <c r="I13" s="3" t="str">
        <f>_xlfn.SINGLE(_xlfn.XLOOKUP(G13, KPI_Definitions!A:A, KPI_Definitions!B:B, ""))</f>
        <v>Learning and Innovation</v>
      </c>
      <c r="J13">
        <f>_xlfn.SINGLE(_xlfn.XLOOKUP(G13, KPI_Definitions!A:A, KPI_Definitions!C:C, ""))</f>
        <v>0.05</v>
      </c>
      <c r="K13">
        <f>_xlfn.SINGLE(_xlfn.XLOOKUP(G13, KPI_Definitions!A:A, KPI_Definitions!E:E, ""))</f>
        <v>0.25</v>
      </c>
      <c r="L13">
        <f>_xlfn.SINGLE(_xlfn.XLOOKUP(G13, KPI_Definitions!A:A, KPI_Definitions!F:F, ""))</f>
        <v>12</v>
      </c>
      <c r="N13">
        <f t="shared" si="1"/>
        <v>0</v>
      </c>
      <c r="O13">
        <f t="shared" si="2"/>
        <v>1</v>
      </c>
      <c r="P13">
        <f t="shared" si="3"/>
        <v>1.2500000000000001E-2</v>
      </c>
      <c r="Q13" s="3"/>
      <c r="R13" s="3"/>
      <c r="S13" t="s">
        <v>83</v>
      </c>
    </row>
    <row r="14" spans="1:19" x14ac:dyDescent="0.35">
      <c r="A14">
        <f t="shared" si="0"/>
        <v>13</v>
      </c>
      <c r="B14" t="s">
        <v>7</v>
      </c>
      <c r="C14" t="s">
        <v>5</v>
      </c>
      <c r="D14" t="s">
        <v>6</v>
      </c>
      <c r="E14" t="s">
        <v>8</v>
      </c>
      <c r="F14" t="s">
        <v>9</v>
      </c>
      <c r="G14" t="s">
        <v>62</v>
      </c>
      <c r="H14" s="3" t="str">
        <f>_xlfn.SINGLE(_xlfn.XLOOKUP(G14, KPI_Definitions!A:A, KPI_Definitions!D:D, ""))</f>
        <v>No. of courses completed (approved learning sites)</v>
      </c>
      <c r="I14" s="3" t="str">
        <f>_xlfn.SINGLE(_xlfn.XLOOKUP(G14, KPI_Definitions!A:A, KPI_Definitions!B:B, ""))</f>
        <v>Learning and Innovation</v>
      </c>
      <c r="J14">
        <f>_xlfn.SINGLE(_xlfn.XLOOKUP(G14, KPI_Definitions!A:A, KPI_Definitions!C:C, ""))</f>
        <v>0.05</v>
      </c>
      <c r="K14">
        <f>_xlfn.SINGLE(_xlfn.XLOOKUP(G14, KPI_Definitions!A:A, KPI_Definitions!E:E, ""))</f>
        <v>0.25</v>
      </c>
      <c r="L14">
        <f>_xlfn.SINGLE(_xlfn.XLOOKUP(G14, KPI_Definitions!A:A, KPI_Definitions!F:F, ""))</f>
        <v>1</v>
      </c>
      <c r="N14">
        <f t="shared" si="1"/>
        <v>0</v>
      </c>
      <c r="O14">
        <f t="shared" si="2"/>
        <v>1</v>
      </c>
      <c r="P14">
        <f t="shared" si="3"/>
        <v>1.2500000000000001E-2</v>
      </c>
      <c r="Q14" s="3"/>
      <c r="R14" s="3"/>
      <c r="S14" t="s">
        <v>83</v>
      </c>
    </row>
    <row r="15" spans="1:19" ht="29" x14ac:dyDescent="0.35">
      <c r="A15">
        <f t="shared" si="0"/>
        <v>14</v>
      </c>
      <c r="B15" t="s">
        <v>7</v>
      </c>
      <c r="C15" t="s">
        <v>5</v>
      </c>
      <c r="D15" t="s">
        <v>6</v>
      </c>
      <c r="E15" t="s">
        <v>8</v>
      </c>
      <c r="F15" t="s">
        <v>9</v>
      </c>
      <c r="G15" t="s">
        <v>64</v>
      </c>
      <c r="H15" s="3" t="str">
        <f>_xlfn.SINGLE(_xlfn.XLOOKUP(G15, KPI_Definitions!A:A, KPI_Definitions!D:D, ""))</f>
        <v>No. of hours committed to external training/reading technical materials</v>
      </c>
      <c r="I15" s="3" t="str">
        <f>_xlfn.SINGLE(_xlfn.XLOOKUP(G15, KPI_Definitions!A:A, KPI_Definitions!B:B, ""))</f>
        <v>Learning and Innovation</v>
      </c>
      <c r="J15">
        <f>_xlfn.SINGLE(_xlfn.XLOOKUP(G15, KPI_Definitions!A:A, KPI_Definitions!C:C, ""))</f>
        <v>0.05</v>
      </c>
      <c r="K15">
        <f>_xlfn.SINGLE(_xlfn.XLOOKUP(G15, KPI_Definitions!A:A, KPI_Definitions!E:E, ""))</f>
        <v>0.1</v>
      </c>
      <c r="L15">
        <f>_xlfn.SINGLE(_xlfn.XLOOKUP(G15, KPI_Definitions!A:A, KPI_Definitions!F:F, ""))</f>
        <v>36</v>
      </c>
      <c r="N15">
        <f t="shared" si="1"/>
        <v>0</v>
      </c>
      <c r="O15">
        <f t="shared" si="2"/>
        <v>1</v>
      </c>
      <c r="P15">
        <f t="shared" si="3"/>
        <v>5.000000000000001E-3</v>
      </c>
      <c r="Q15" s="3"/>
      <c r="R15" s="3"/>
      <c r="S15" t="s">
        <v>83</v>
      </c>
    </row>
    <row r="16" spans="1:19" x14ac:dyDescent="0.35">
      <c r="A16">
        <f t="shared" si="0"/>
        <v>15</v>
      </c>
      <c r="B16" t="s">
        <v>7</v>
      </c>
      <c r="C16" t="s">
        <v>5</v>
      </c>
      <c r="D16" t="s">
        <v>6</v>
      </c>
      <c r="E16" t="s">
        <v>8</v>
      </c>
      <c r="F16" t="s">
        <v>9</v>
      </c>
      <c r="G16" t="s">
        <v>66</v>
      </c>
      <c r="H16" s="3" t="str">
        <f>_xlfn.SINGLE(_xlfn.XLOOKUP(G16, KPI_Definitions!A:A, KPI_Definitions!D:D, ""))</f>
        <v>No. of hours committed to Coaching and Mentoring</v>
      </c>
      <c r="I16" s="3" t="str">
        <f>_xlfn.SINGLE(_xlfn.XLOOKUP(G16, KPI_Definitions!A:A, KPI_Definitions!B:B, ""))</f>
        <v>Learning and Innovation</v>
      </c>
      <c r="J16">
        <f>_xlfn.SINGLE(_xlfn.XLOOKUP(G16, KPI_Definitions!A:A, KPI_Definitions!C:C, ""))</f>
        <v>0.05</v>
      </c>
      <c r="K16">
        <f>_xlfn.SINGLE(_xlfn.XLOOKUP(G16, KPI_Definitions!A:A, KPI_Definitions!E:E, ""))</f>
        <v>0.2</v>
      </c>
      <c r="L16">
        <f>_xlfn.SINGLE(_xlfn.XLOOKUP(G16, KPI_Definitions!A:A, KPI_Definitions!F:F, ""))</f>
        <v>4</v>
      </c>
      <c r="N16">
        <f t="shared" si="1"/>
        <v>0</v>
      </c>
      <c r="O16">
        <f t="shared" si="2"/>
        <v>1</v>
      </c>
      <c r="P16">
        <f t="shared" si="3"/>
        <v>1.0000000000000002E-2</v>
      </c>
      <c r="Q16" s="3"/>
      <c r="R16" s="3"/>
      <c r="S16" t="s">
        <v>83</v>
      </c>
    </row>
    <row r="17" spans="1:19" x14ac:dyDescent="0.35">
      <c r="A17">
        <f t="shared" si="0"/>
        <v>16</v>
      </c>
      <c r="B17" t="s">
        <v>7</v>
      </c>
      <c r="C17" t="s">
        <v>5</v>
      </c>
      <c r="D17" t="s">
        <v>6</v>
      </c>
      <c r="E17" t="s">
        <v>8</v>
      </c>
      <c r="F17" t="s">
        <v>9</v>
      </c>
      <c r="G17" t="s">
        <v>68</v>
      </c>
      <c r="H17" s="3" t="str">
        <f>_xlfn.SINGLE(_xlfn.XLOOKUP(G17, KPI_Definitions!A:A, KPI_Definitions!D:D, ""))</f>
        <v>Contributes innovative ideas to the firm</v>
      </c>
      <c r="I17" s="3" t="str">
        <f>_xlfn.SINGLE(_xlfn.XLOOKUP(G17, KPI_Definitions!A:A, KPI_Definitions!B:B, ""))</f>
        <v>Learning and Innovation</v>
      </c>
      <c r="J17">
        <f>_xlfn.SINGLE(_xlfn.XLOOKUP(G17, KPI_Definitions!A:A, KPI_Definitions!C:C, ""))</f>
        <v>0.05</v>
      </c>
      <c r="K17">
        <f>_xlfn.SINGLE(_xlfn.XLOOKUP(G17, KPI_Definitions!A:A, KPI_Definitions!E:E, ""))</f>
        <v>0.2</v>
      </c>
      <c r="L17">
        <f>_xlfn.SINGLE(_xlfn.XLOOKUP(G17, KPI_Definitions!A:A, KPI_Definitions!F:F, ""))</f>
        <v>5</v>
      </c>
      <c r="N17">
        <f t="shared" si="1"/>
        <v>0</v>
      </c>
      <c r="O17">
        <f t="shared" si="2"/>
        <v>1</v>
      </c>
      <c r="P17">
        <f t="shared" si="3"/>
        <v>1.0000000000000002E-2</v>
      </c>
      <c r="Q17" s="3"/>
      <c r="R17" s="3"/>
      <c r="S17" t="s">
        <v>83</v>
      </c>
    </row>
  </sheetData>
  <conditionalFormatting sqref="P2:P500">
    <cfRule type="cellIs" dxfId="5" priority="1" operator="lessThan">
      <formula>3</formula>
    </cfRule>
    <cfRule type="cellIs" dxfId="4" priority="2" operator="between">
      <formula>3</formula>
      <formula>3.9999</formula>
    </cfRule>
    <cfRule type="cellIs" dxfId="3" priority="3" operator="greaterThanOrEqual">
      <formula>4</formula>
    </cfRule>
  </conditionalFormatting>
  <dataValidations count="1">
    <dataValidation type="list"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S497 S498 S499 S500" xr:uid="{00000000-0002-0000-0200-000005000000}">
      <formula1>"Draft,Submitted,Reviewed,Approved"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5">
        <x14:dataValidation type="list" xr:uid="{00000000-0002-0000-0200-000000000000}">
          <x14:formula1>
            <xm:f>Lists!$C$2:$C$100</xm:f>
          </x14:formula1>
          <xm: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xm:sqref>
        </x14:dataValidation>
        <x14:dataValidation type="list" xr:uid="{00000000-0002-0000-0200-000001000000}">
          <x14:formula1>
            <xm:f>Lists!$A$2:$A$100</xm:f>
          </x14:formula1>
          <xm: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xm:sqref>
        </x14:dataValidation>
        <x14:dataValidation type="list" xr:uid="{00000000-0002-0000-0200-000002000000}">
          <x14:formula1>
            <xm:f>Lists!$B$2:$B$100</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xm:sqref>
        </x14:dataValidation>
        <x14:dataValidation type="list" xr:uid="{00000000-0002-0000-0200-000003000000}">
          <x14:formula1>
            <xm:f>Lists!$D$2:$D$200</xm:f>
          </x14:formula1>
          <xm: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xm:sqref>
        </x14:dataValidation>
        <x14:dataValidation type="list" allowBlank="1" xr:uid="{00000000-0002-0000-0200-000004000000}">
          <x14:formula1>
            <xm:f>Lists!$E$2:$E$200</xm:f>
          </x14:formula1>
          <xm: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2"/>
  <sheetViews>
    <sheetView workbookViewId="0">
      <pane ySplit="2" topLeftCell="A3" activePane="bottomLeft" state="frozen"/>
      <selection pane="bottomLeft"/>
    </sheetView>
  </sheetViews>
  <sheetFormatPr defaultRowHeight="14.5" x14ac:dyDescent="0.35"/>
  <cols>
    <col min="1" max="1" width="20" customWidth="1"/>
    <col min="2" max="2" width="12" customWidth="1"/>
    <col min="3" max="3" width="10" customWidth="1"/>
    <col min="4" max="5" width="12" customWidth="1"/>
    <col min="6" max="7" width="16" customWidth="1"/>
    <col min="8" max="8" width="10" customWidth="1"/>
    <col min="9" max="9" width="18" customWidth="1"/>
  </cols>
  <sheetData>
    <row r="1" spans="1:9" x14ac:dyDescent="0.35">
      <c r="A1" s="4" t="s">
        <v>84</v>
      </c>
      <c r="B1" t="s">
        <v>7</v>
      </c>
      <c r="D1" s="4" t="s">
        <v>85</v>
      </c>
      <c r="E1" t="s">
        <v>6</v>
      </c>
    </row>
    <row r="2" spans="1:9" ht="29" x14ac:dyDescent="0.35">
      <c r="A2" s="2" t="s">
        <v>74</v>
      </c>
      <c r="B2" s="2" t="s">
        <v>79</v>
      </c>
      <c r="C2" s="2" t="s">
        <v>86</v>
      </c>
      <c r="D2" s="2" t="s">
        <v>87</v>
      </c>
      <c r="E2" s="2" t="s">
        <v>31</v>
      </c>
      <c r="F2" s="2" t="s">
        <v>88</v>
      </c>
      <c r="G2" s="2" t="s">
        <v>89</v>
      </c>
      <c r="H2" s="2" t="s">
        <v>90</v>
      </c>
      <c r="I2" s="2" t="s">
        <v>91</v>
      </c>
    </row>
    <row r="3" spans="1:9" x14ac:dyDescent="0.35">
      <c r="A3" t="str">
        <f>_xlfn.SINGLE(_xlfn._xlws.SORT(_xlfn.UNIQUE(_xlfn._xlws.FILTER(Entries!E:E, (_xlfn.SINGLE(Entries!E:E) &lt;&gt; "") * (_xlfn.SINGLE(Entries!D:D) = $E$1)))))</f>
        <v>Anthony Kaale</v>
      </c>
      <c r="B3">
        <f>IF(A3="","",SUMIFS(Entries!P:P,Entries!E:E,A3,Entries!B:B,$B$1,Entries!D:D,$E$1))</f>
        <v>1</v>
      </c>
      <c r="C3" t="str">
        <f t="shared" ref="C3:C34" si="0">IF(B3="","",IF(B3&gt;=4,"Green",IF(B3&gt;=3,"Amber","Red")))</f>
        <v>Red</v>
      </c>
      <c r="D3">
        <f>IF(A3="","",SUMIFS(Entries!P:P,Entries!E:E,A3,Entries!B:B,$B$1,Entries!D:D,$E$1,Entries!I:I,"Customers/Stakeholders"))</f>
        <v>0.1</v>
      </c>
      <c r="E3">
        <f>IF(A3="","",SUMIFS(Entries!P:P,Entries!E:E,A3,Entries!B:B,$B$1,Entries!D:D,$E$1,Entries!I:I,"Financial"))</f>
        <v>0.2</v>
      </c>
      <c r="F3">
        <f>IF(A3="","",SUMIFS(Entries!P:P,Entries!E:E,A3,Entries!B:B,$B$1,Entries!D:D,$E$1,Entries!I:I,"Internal Business Process"))</f>
        <v>0.4</v>
      </c>
      <c r="G3">
        <f>IF(A3="","",SUMIFS(Entries!P:P,Entries!E:E,A3,Entries!B:B,$B$1,Entries!D:D,$E$1,Entries!I:I,"People and Culture"))</f>
        <v>0.23</v>
      </c>
      <c r="H3">
        <f>IF(A3="","",SUMIFS(Entries!P:P,Entries!E:E,A3,Entries!B:B,$B$1,Entries!D:D,$E$1,Entries!I:I,"ESG and Sustainability"))</f>
        <v>0.02</v>
      </c>
      <c r="I3">
        <f>IF(A3="","",SUMIFS(Entries!P:P,Entries!E:E,A3,Entries!B:B,$B$1,Entries!D:D,$E$1,Entries!I:I,"Learning and Innovation"))</f>
        <v>5.000000000000001E-2</v>
      </c>
    </row>
    <row r="4" spans="1:9" x14ac:dyDescent="0.35">
      <c r="B4" t="str">
        <f>IF(A4="","",SUMIFS(Entries!P:P,Entries!E:E,A4,Entries!B:B,$B$1,Entries!D:D,$E$1))</f>
        <v/>
      </c>
      <c r="C4" t="str">
        <f t="shared" si="0"/>
        <v/>
      </c>
      <c r="D4" t="str">
        <f>IF(A4="","",SUMIFS(Entries!P:P,Entries!E:E,A4,Entries!B:B,$B$1,Entries!D:D,$E$1,Entries!I:I,"Customers/Stakeholders"))</f>
        <v/>
      </c>
      <c r="E4" t="str">
        <f>IF(A4="","",SUMIFS(Entries!P:P,Entries!E:E,A4,Entries!B:B,$B$1,Entries!D:D,$E$1,Entries!I:I,"Financial"))</f>
        <v/>
      </c>
      <c r="F4" t="str">
        <f>IF(A4="","",SUMIFS(Entries!P:P,Entries!E:E,A4,Entries!B:B,$B$1,Entries!D:D,$E$1,Entries!I:I,"Internal Business Process"))</f>
        <v/>
      </c>
      <c r="G4" t="str">
        <f>IF(A4="","",SUMIFS(Entries!P:P,Entries!E:E,A4,Entries!B:B,$B$1,Entries!D:D,$E$1,Entries!I:I,"People and Culture"))</f>
        <v/>
      </c>
      <c r="H4" t="str">
        <f>IF(A4="","",SUMIFS(Entries!P:P,Entries!E:E,A4,Entries!B:B,$B$1,Entries!D:D,$E$1,Entries!I:I,"ESG and Sustainability"))</f>
        <v/>
      </c>
      <c r="I4" t="str">
        <f>IF(A4="","",SUMIFS(Entries!P:P,Entries!E:E,A4,Entries!B:B,$B$1,Entries!D:D,$E$1,Entries!I:I,"Learning and Innovation"))</f>
        <v/>
      </c>
    </row>
    <row r="5" spans="1:9" x14ac:dyDescent="0.35">
      <c r="B5" t="str">
        <f>IF(A5="","",SUMIFS(Entries!P:P,Entries!E:E,A5,Entries!B:B,$B$1,Entries!D:D,$E$1))</f>
        <v/>
      </c>
      <c r="C5" t="str">
        <f t="shared" si="0"/>
        <v/>
      </c>
      <c r="D5" t="str">
        <f>IF(A5="","",SUMIFS(Entries!P:P,Entries!E:E,A5,Entries!B:B,$B$1,Entries!D:D,$E$1,Entries!I:I,"Customers/Stakeholders"))</f>
        <v/>
      </c>
      <c r="E5" t="str">
        <f>IF(A5="","",SUMIFS(Entries!P:P,Entries!E:E,A5,Entries!B:B,$B$1,Entries!D:D,$E$1,Entries!I:I,"Financial"))</f>
        <v/>
      </c>
      <c r="F5" t="str">
        <f>IF(A5="","",SUMIFS(Entries!P:P,Entries!E:E,A5,Entries!B:B,$B$1,Entries!D:D,$E$1,Entries!I:I,"Internal Business Process"))</f>
        <v/>
      </c>
      <c r="G5" t="str">
        <f>IF(A5="","",SUMIFS(Entries!P:P,Entries!E:E,A5,Entries!B:B,$B$1,Entries!D:D,$E$1,Entries!I:I,"People and Culture"))</f>
        <v/>
      </c>
      <c r="H5" t="str">
        <f>IF(A5="","",SUMIFS(Entries!P:P,Entries!E:E,A5,Entries!B:B,$B$1,Entries!D:D,$E$1,Entries!I:I,"ESG and Sustainability"))</f>
        <v/>
      </c>
      <c r="I5" t="str">
        <f>IF(A5="","",SUMIFS(Entries!P:P,Entries!E:E,A5,Entries!B:B,$B$1,Entries!D:D,$E$1,Entries!I:I,"Learning and Innovation"))</f>
        <v/>
      </c>
    </row>
    <row r="6" spans="1:9" x14ac:dyDescent="0.35">
      <c r="B6" t="str">
        <f>IF(A6="","",SUMIFS(Entries!P:P,Entries!E:E,A6,Entries!B:B,$B$1,Entries!D:D,$E$1))</f>
        <v/>
      </c>
      <c r="C6" t="str">
        <f t="shared" si="0"/>
        <v/>
      </c>
      <c r="D6" t="str">
        <f>IF(A6="","",SUMIFS(Entries!P:P,Entries!E:E,A6,Entries!B:B,$B$1,Entries!D:D,$E$1,Entries!I:I,"Customers/Stakeholders"))</f>
        <v/>
      </c>
      <c r="E6" t="str">
        <f>IF(A6="","",SUMIFS(Entries!P:P,Entries!E:E,A6,Entries!B:B,$B$1,Entries!D:D,$E$1,Entries!I:I,"Financial"))</f>
        <v/>
      </c>
      <c r="F6" t="str">
        <f>IF(A6="","",SUMIFS(Entries!P:P,Entries!E:E,A6,Entries!B:B,$B$1,Entries!D:D,$E$1,Entries!I:I,"Internal Business Process"))</f>
        <v/>
      </c>
      <c r="G6" t="str">
        <f>IF(A6="","",SUMIFS(Entries!P:P,Entries!E:E,A6,Entries!B:B,$B$1,Entries!D:D,$E$1,Entries!I:I,"People and Culture"))</f>
        <v/>
      </c>
      <c r="H6" t="str">
        <f>IF(A6="","",SUMIFS(Entries!P:P,Entries!E:E,A6,Entries!B:B,$B$1,Entries!D:D,$E$1,Entries!I:I,"ESG and Sustainability"))</f>
        <v/>
      </c>
      <c r="I6" t="str">
        <f>IF(A6="","",SUMIFS(Entries!P:P,Entries!E:E,A6,Entries!B:B,$B$1,Entries!D:D,$E$1,Entries!I:I,"Learning and Innovation"))</f>
        <v/>
      </c>
    </row>
    <row r="7" spans="1:9" x14ac:dyDescent="0.35">
      <c r="B7" t="str">
        <f>IF(A7="","",SUMIFS(Entries!P:P,Entries!E:E,A7,Entries!B:B,$B$1,Entries!D:D,$E$1))</f>
        <v/>
      </c>
      <c r="C7" t="str">
        <f t="shared" si="0"/>
        <v/>
      </c>
      <c r="D7" t="str">
        <f>IF(A7="","",SUMIFS(Entries!P:P,Entries!E:E,A7,Entries!B:B,$B$1,Entries!D:D,$E$1,Entries!I:I,"Customers/Stakeholders"))</f>
        <v/>
      </c>
      <c r="E7" t="str">
        <f>IF(A7="","",SUMIFS(Entries!P:P,Entries!E:E,A7,Entries!B:B,$B$1,Entries!D:D,$E$1,Entries!I:I,"Financial"))</f>
        <v/>
      </c>
      <c r="F7" t="str">
        <f>IF(A7="","",SUMIFS(Entries!P:P,Entries!E:E,A7,Entries!B:B,$B$1,Entries!D:D,$E$1,Entries!I:I,"Internal Business Process"))</f>
        <v/>
      </c>
      <c r="G7" t="str">
        <f>IF(A7="","",SUMIFS(Entries!P:P,Entries!E:E,A7,Entries!B:B,$B$1,Entries!D:D,$E$1,Entries!I:I,"People and Culture"))</f>
        <v/>
      </c>
      <c r="H7" t="str">
        <f>IF(A7="","",SUMIFS(Entries!P:P,Entries!E:E,A7,Entries!B:B,$B$1,Entries!D:D,$E$1,Entries!I:I,"ESG and Sustainability"))</f>
        <v/>
      </c>
      <c r="I7" t="str">
        <f>IF(A7="","",SUMIFS(Entries!P:P,Entries!E:E,A7,Entries!B:B,$B$1,Entries!D:D,$E$1,Entries!I:I,"Learning and Innovation"))</f>
        <v/>
      </c>
    </row>
    <row r="8" spans="1:9" x14ac:dyDescent="0.35">
      <c r="B8" t="str">
        <f>IF(A8="","",SUMIFS(Entries!P:P,Entries!E:E,A8,Entries!B:B,$B$1,Entries!D:D,$E$1))</f>
        <v/>
      </c>
      <c r="C8" t="str">
        <f t="shared" si="0"/>
        <v/>
      </c>
      <c r="D8" t="str">
        <f>IF(A8="","",SUMIFS(Entries!P:P,Entries!E:E,A8,Entries!B:B,$B$1,Entries!D:D,$E$1,Entries!I:I,"Customers/Stakeholders"))</f>
        <v/>
      </c>
      <c r="E8" t="str">
        <f>IF(A8="","",SUMIFS(Entries!P:P,Entries!E:E,A8,Entries!B:B,$B$1,Entries!D:D,$E$1,Entries!I:I,"Financial"))</f>
        <v/>
      </c>
      <c r="F8" t="str">
        <f>IF(A8="","",SUMIFS(Entries!P:P,Entries!E:E,A8,Entries!B:B,$B$1,Entries!D:D,$E$1,Entries!I:I,"Internal Business Process"))</f>
        <v/>
      </c>
      <c r="G8" t="str">
        <f>IF(A8="","",SUMIFS(Entries!P:P,Entries!E:E,A8,Entries!B:B,$B$1,Entries!D:D,$E$1,Entries!I:I,"People and Culture"))</f>
        <v/>
      </c>
      <c r="H8" t="str">
        <f>IF(A8="","",SUMIFS(Entries!P:P,Entries!E:E,A8,Entries!B:B,$B$1,Entries!D:D,$E$1,Entries!I:I,"ESG and Sustainability"))</f>
        <v/>
      </c>
      <c r="I8" t="str">
        <f>IF(A8="","",SUMIFS(Entries!P:P,Entries!E:E,A8,Entries!B:B,$B$1,Entries!D:D,$E$1,Entries!I:I,"Learning and Innovation"))</f>
        <v/>
      </c>
    </row>
    <row r="9" spans="1:9" x14ac:dyDescent="0.35">
      <c r="B9" t="str">
        <f>IF(A9="","",SUMIFS(Entries!P:P,Entries!E:E,A9,Entries!B:B,$B$1,Entries!D:D,$E$1))</f>
        <v/>
      </c>
      <c r="C9" t="str">
        <f t="shared" si="0"/>
        <v/>
      </c>
      <c r="D9" t="str">
        <f>IF(A9="","",SUMIFS(Entries!P:P,Entries!E:E,A9,Entries!B:B,$B$1,Entries!D:D,$E$1,Entries!I:I,"Customers/Stakeholders"))</f>
        <v/>
      </c>
      <c r="E9" t="str">
        <f>IF(A9="","",SUMIFS(Entries!P:P,Entries!E:E,A9,Entries!B:B,$B$1,Entries!D:D,$E$1,Entries!I:I,"Financial"))</f>
        <v/>
      </c>
      <c r="F9" t="str">
        <f>IF(A9="","",SUMIFS(Entries!P:P,Entries!E:E,A9,Entries!B:B,$B$1,Entries!D:D,$E$1,Entries!I:I,"Internal Business Process"))</f>
        <v/>
      </c>
      <c r="G9" t="str">
        <f>IF(A9="","",SUMIFS(Entries!P:P,Entries!E:E,A9,Entries!B:B,$B$1,Entries!D:D,$E$1,Entries!I:I,"People and Culture"))</f>
        <v/>
      </c>
      <c r="H9" t="str">
        <f>IF(A9="","",SUMIFS(Entries!P:P,Entries!E:E,A9,Entries!B:B,$B$1,Entries!D:D,$E$1,Entries!I:I,"ESG and Sustainability"))</f>
        <v/>
      </c>
      <c r="I9" t="str">
        <f>IF(A9="","",SUMIFS(Entries!P:P,Entries!E:E,A9,Entries!B:B,$B$1,Entries!D:D,$E$1,Entries!I:I,"Learning and Innovation"))</f>
        <v/>
      </c>
    </row>
    <row r="10" spans="1:9" x14ac:dyDescent="0.35">
      <c r="B10" t="str">
        <f>IF(A10="","",SUMIFS(Entries!P:P,Entries!E:E,A10,Entries!B:B,$B$1,Entries!D:D,$E$1))</f>
        <v/>
      </c>
      <c r="C10" t="str">
        <f t="shared" si="0"/>
        <v/>
      </c>
      <c r="D10" t="str">
        <f>IF(A10="","",SUMIFS(Entries!P:P,Entries!E:E,A10,Entries!B:B,$B$1,Entries!D:D,$E$1,Entries!I:I,"Customers/Stakeholders"))</f>
        <v/>
      </c>
      <c r="E10" t="str">
        <f>IF(A10="","",SUMIFS(Entries!P:P,Entries!E:E,A10,Entries!B:B,$B$1,Entries!D:D,$E$1,Entries!I:I,"Financial"))</f>
        <v/>
      </c>
      <c r="F10" t="str">
        <f>IF(A10="","",SUMIFS(Entries!P:P,Entries!E:E,A10,Entries!B:B,$B$1,Entries!D:D,$E$1,Entries!I:I,"Internal Business Process"))</f>
        <v/>
      </c>
      <c r="G10" t="str">
        <f>IF(A10="","",SUMIFS(Entries!P:P,Entries!E:E,A10,Entries!B:B,$B$1,Entries!D:D,$E$1,Entries!I:I,"People and Culture"))</f>
        <v/>
      </c>
      <c r="H10" t="str">
        <f>IF(A10="","",SUMIFS(Entries!P:P,Entries!E:E,A10,Entries!B:B,$B$1,Entries!D:D,$E$1,Entries!I:I,"ESG and Sustainability"))</f>
        <v/>
      </c>
      <c r="I10" t="str">
        <f>IF(A10="","",SUMIFS(Entries!P:P,Entries!E:E,A10,Entries!B:B,$B$1,Entries!D:D,$E$1,Entries!I:I,"Learning and Innovation"))</f>
        <v/>
      </c>
    </row>
    <row r="11" spans="1:9" x14ac:dyDescent="0.35">
      <c r="B11" t="str">
        <f>IF(A11="","",SUMIFS(Entries!P:P,Entries!E:E,A11,Entries!B:B,$B$1,Entries!D:D,$E$1))</f>
        <v/>
      </c>
      <c r="C11" t="str">
        <f t="shared" si="0"/>
        <v/>
      </c>
      <c r="D11" t="str">
        <f>IF(A11="","",SUMIFS(Entries!P:P,Entries!E:E,A11,Entries!B:B,$B$1,Entries!D:D,$E$1,Entries!I:I,"Customers/Stakeholders"))</f>
        <v/>
      </c>
      <c r="E11" t="str">
        <f>IF(A11="","",SUMIFS(Entries!P:P,Entries!E:E,A11,Entries!B:B,$B$1,Entries!D:D,$E$1,Entries!I:I,"Financial"))</f>
        <v/>
      </c>
      <c r="F11" t="str">
        <f>IF(A11="","",SUMIFS(Entries!P:P,Entries!E:E,A11,Entries!B:B,$B$1,Entries!D:D,$E$1,Entries!I:I,"Internal Business Process"))</f>
        <v/>
      </c>
      <c r="G11" t="str">
        <f>IF(A11="","",SUMIFS(Entries!P:P,Entries!E:E,A11,Entries!B:B,$B$1,Entries!D:D,$E$1,Entries!I:I,"People and Culture"))</f>
        <v/>
      </c>
      <c r="H11" t="str">
        <f>IF(A11="","",SUMIFS(Entries!P:P,Entries!E:E,A11,Entries!B:B,$B$1,Entries!D:D,$E$1,Entries!I:I,"ESG and Sustainability"))</f>
        <v/>
      </c>
      <c r="I11" t="str">
        <f>IF(A11="","",SUMIFS(Entries!P:P,Entries!E:E,A11,Entries!B:B,$B$1,Entries!D:D,$E$1,Entries!I:I,"Learning and Innovation"))</f>
        <v/>
      </c>
    </row>
    <row r="12" spans="1:9" x14ac:dyDescent="0.35">
      <c r="B12" t="str">
        <f>IF(A12="","",SUMIFS(Entries!P:P,Entries!E:E,A12,Entries!B:B,$B$1,Entries!D:D,$E$1))</f>
        <v/>
      </c>
      <c r="C12" t="str">
        <f t="shared" si="0"/>
        <v/>
      </c>
      <c r="D12" t="str">
        <f>IF(A12="","",SUMIFS(Entries!P:P,Entries!E:E,A12,Entries!B:B,$B$1,Entries!D:D,$E$1,Entries!I:I,"Customers/Stakeholders"))</f>
        <v/>
      </c>
      <c r="E12" t="str">
        <f>IF(A12="","",SUMIFS(Entries!P:P,Entries!E:E,A12,Entries!B:B,$B$1,Entries!D:D,$E$1,Entries!I:I,"Financial"))</f>
        <v/>
      </c>
      <c r="F12" t="str">
        <f>IF(A12="","",SUMIFS(Entries!P:P,Entries!E:E,A12,Entries!B:B,$B$1,Entries!D:D,$E$1,Entries!I:I,"Internal Business Process"))</f>
        <v/>
      </c>
      <c r="G12" t="str">
        <f>IF(A12="","",SUMIFS(Entries!P:P,Entries!E:E,A12,Entries!B:B,$B$1,Entries!D:D,$E$1,Entries!I:I,"People and Culture"))</f>
        <v/>
      </c>
      <c r="H12" t="str">
        <f>IF(A12="","",SUMIFS(Entries!P:P,Entries!E:E,A12,Entries!B:B,$B$1,Entries!D:D,$E$1,Entries!I:I,"ESG and Sustainability"))</f>
        <v/>
      </c>
      <c r="I12" t="str">
        <f>IF(A12="","",SUMIFS(Entries!P:P,Entries!E:E,A12,Entries!B:B,$B$1,Entries!D:D,$E$1,Entries!I:I,"Learning and Innovation"))</f>
        <v/>
      </c>
    </row>
    <row r="13" spans="1:9" x14ac:dyDescent="0.35">
      <c r="B13" t="str">
        <f>IF(A13="","",SUMIFS(Entries!P:P,Entries!E:E,A13,Entries!B:B,$B$1,Entries!D:D,$E$1))</f>
        <v/>
      </c>
      <c r="C13" t="str">
        <f t="shared" si="0"/>
        <v/>
      </c>
      <c r="D13" t="str">
        <f>IF(A13="","",SUMIFS(Entries!P:P,Entries!E:E,A13,Entries!B:B,$B$1,Entries!D:D,$E$1,Entries!I:I,"Customers/Stakeholders"))</f>
        <v/>
      </c>
      <c r="E13" t="str">
        <f>IF(A13="","",SUMIFS(Entries!P:P,Entries!E:E,A13,Entries!B:B,$B$1,Entries!D:D,$E$1,Entries!I:I,"Financial"))</f>
        <v/>
      </c>
      <c r="F13" t="str">
        <f>IF(A13="","",SUMIFS(Entries!P:P,Entries!E:E,A13,Entries!B:B,$B$1,Entries!D:D,$E$1,Entries!I:I,"Internal Business Process"))</f>
        <v/>
      </c>
      <c r="G13" t="str">
        <f>IF(A13="","",SUMIFS(Entries!P:P,Entries!E:E,A13,Entries!B:B,$B$1,Entries!D:D,$E$1,Entries!I:I,"People and Culture"))</f>
        <v/>
      </c>
      <c r="H13" t="str">
        <f>IF(A13="","",SUMIFS(Entries!P:P,Entries!E:E,A13,Entries!B:B,$B$1,Entries!D:D,$E$1,Entries!I:I,"ESG and Sustainability"))</f>
        <v/>
      </c>
      <c r="I13" t="str">
        <f>IF(A13="","",SUMIFS(Entries!P:P,Entries!E:E,A13,Entries!B:B,$B$1,Entries!D:D,$E$1,Entries!I:I,"Learning and Innovation"))</f>
        <v/>
      </c>
    </row>
    <row r="14" spans="1:9" x14ac:dyDescent="0.35">
      <c r="B14" t="str">
        <f>IF(A14="","",SUMIFS(Entries!P:P,Entries!E:E,A14,Entries!B:B,$B$1,Entries!D:D,$E$1))</f>
        <v/>
      </c>
      <c r="C14" t="str">
        <f t="shared" si="0"/>
        <v/>
      </c>
      <c r="D14" t="str">
        <f>IF(A14="","",SUMIFS(Entries!P:P,Entries!E:E,A14,Entries!B:B,$B$1,Entries!D:D,$E$1,Entries!I:I,"Customers/Stakeholders"))</f>
        <v/>
      </c>
      <c r="E14" t="str">
        <f>IF(A14="","",SUMIFS(Entries!P:P,Entries!E:E,A14,Entries!B:B,$B$1,Entries!D:D,$E$1,Entries!I:I,"Financial"))</f>
        <v/>
      </c>
      <c r="F14" t="str">
        <f>IF(A14="","",SUMIFS(Entries!P:P,Entries!E:E,A14,Entries!B:B,$B$1,Entries!D:D,$E$1,Entries!I:I,"Internal Business Process"))</f>
        <v/>
      </c>
      <c r="G14" t="str">
        <f>IF(A14="","",SUMIFS(Entries!P:P,Entries!E:E,A14,Entries!B:B,$B$1,Entries!D:D,$E$1,Entries!I:I,"People and Culture"))</f>
        <v/>
      </c>
      <c r="H14" t="str">
        <f>IF(A14="","",SUMIFS(Entries!P:P,Entries!E:E,A14,Entries!B:B,$B$1,Entries!D:D,$E$1,Entries!I:I,"ESG and Sustainability"))</f>
        <v/>
      </c>
      <c r="I14" t="str">
        <f>IF(A14="","",SUMIFS(Entries!P:P,Entries!E:E,A14,Entries!B:B,$B$1,Entries!D:D,$E$1,Entries!I:I,"Learning and Innovation"))</f>
        <v/>
      </c>
    </row>
    <row r="15" spans="1:9" x14ac:dyDescent="0.35">
      <c r="B15" t="str">
        <f>IF(A15="","",SUMIFS(Entries!P:P,Entries!E:E,A15,Entries!B:B,$B$1,Entries!D:D,$E$1))</f>
        <v/>
      </c>
      <c r="C15" t="str">
        <f t="shared" si="0"/>
        <v/>
      </c>
      <c r="D15" t="str">
        <f>IF(A15="","",SUMIFS(Entries!P:P,Entries!E:E,A15,Entries!B:B,$B$1,Entries!D:D,$E$1,Entries!I:I,"Customers/Stakeholders"))</f>
        <v/>
      </c>
      <c r="E15" t="str">
        <f>IF(A15="","",SUMIFS(Entries!P:P,Entries!E:E,A15,Entries!B:B,$B$1,Entries!D:D,$E$1,Entries!I:I,"Financial"))</f>
        <v/>
      </c>
      <c r="F15" t="str">
        <f>IF(A15="","",SUMIFS(Entries!P:P,Entries!E:E,A15,Entries!B:B,$B$1,Entries!D:D,$E$1,Entries!I:I,"Internal Business Process"))</f>
        <v/>
      </c>
      <c r="G15" t="str">
        <f>IF(A15="","",SUMIFS(Entries!P:P,Entries!E:E,A15,Entries!B:B,$B$1,Entries!D:D,$E$1,Entries!I:I,"People and Culture"))</f>
        <v/>
      </c>
      <c r="H15" t="str">
        <f>IF(A15="","",SUMIFS(Entries!P:P,Entries!E:E,A15,Entries!B:B,$B$1,Entries!D:D,$E$1,Entries!I:I,"ESG and Sustainability"))</f>
        <v/>
      </c>
      <c r="I15" t="str">
        <f>IF(A15="","",SUMIFS(Entries!P:P,Entries!E:E,A15,Entries!B:B,$B$1,Entries!D:D,$E$1,Entries!I:I,"Learning and Innovation"))</f>
        <v/>
      </c>
    </row>
    <row r="16" spans="1:9" x14ac:dyDescent="0.35">
      <c r="B16" t="str">
        <f>IF(A16="","",SUMIFS(Entries!P:P,Entries!E:E,A16,Entries!B:B,$B$1,Entries!D:D,$E$1))</f>
        <v/>
      </c>
      <c r="C16" t="str">
        <f t="shared" si="0"/>
        <v/>
      </c>
      <c r="D16" t="str">
        <f>IF(A16="","",SUMIFS(Entries!P:P,Entries!E:E,A16,Entries!B:B,$B$1,Entries!D:D,$E$1,Entries!I:I,"Customers/Stakeholders"))</f>
        <v/>
      </c>
      <c r="E16" t="str">
        <f>IF(A16="","",SUMIFS(Entries!P:P,Entries!E:E,A16,Entries!B:B,$B$1,Entries!D:D,$E$1,Entries!I:I,"Financial"))</f>
        <v/>
      </c>
      <c r="F16" t="str">
        <f>IF(A16="","",SUMIFS(Entries!P:P,Entries!E:E,A16,Entries!B:B,$B$1,Entries!D:D,$E$1,Entries!I:I,"Internal Business Process"))</f>
        <v/>
      </c>
      <c r="G16" t="str">
        <f>IF(A16="","",SUMIFS(Entries!P:P,Entries!E:E,A16,Entries!B:B,$B$1,Entries!D:D,$E$1,Entries!I:I,"People and Culture"))</f>
        <v/>
      </c>
      <c r="H16" t="str">
        <f>IF(A16="","",SUMIFS(Entries!P:P,Entries!E:E,A16,Entries!B:B,$B$1,Entries!D:D,$E$1,Entries!I:I,"ESG and Sustainability"))</f>
        <v/>
      </c>
      <c r="I16" t="str">
        <f>IF(A16="","",SUMIFS(Entries!P:P,Entries!E:E,A16,Entries!B:B,$B$1,Entries!D:D,$E$1,Entries!I:I,"Learning and Innovation"))</f>
        <v/>
      </c>
    </row>
    <row r="17" spans="2:9" x14ac:dyDescent="0.35">
      <c r="B17" t="str">
        <f>IF(A17="","",SUMIFS(Entries!P:P,Entries!E:E,A17,Entries!B:B,$B$1,Entries!D:D,$E$1))</f>
        <v/>
      </c>
      <c r="C17" t="str">
        <f t="shared" si="0"/>
        <v/>
      </c>
      <c r="D17" t="str">
        <f>IF(A17="","",SUMIFS(Entries!P:P,Entries!E:E,A17,Entries!B:B,$B$1,Entries!D:D,$E$1,Entries!I:I,"Customers/Stakeholders"))</f>
        <v/>
      </c>
      <c r="E17" t="str">
        <f>IF(A17="","",SUMIFS(Entries!P:P,Entries!E:E,A17,Entries!B:B,$B$1,Entries!D:D,$E$1,Entries!I:I,"Financial"))</f>
        <v/>
      </c>
      <c r="F17" t="str">
        <f>IF(A17="","",SUMIFS(Entries!P:P,Entries!E:E,A17,Entries!B:B,$B$1,Entries!D:D,$E$1,Entries!I:I,"Internal Business Process"))</f>
        <v/>
      </c>
      <c r="G17" t="str">
        <f>IF(A17="","",SUMIFS(Entries!P:P,Entries!E:E,A17,Entries!B:B,$B$1,Entries!D:D,$E$1,Entries!I:I,"People and Culture"))</f>
        <v/>
      </c>
      <c r="H17" t="str">
        <f>IF(A17="","",SUMIFS(Entries!P:P,Entries!E:E,A17,Entries!B:B,$B$1,Entries!D:D,$E$1,Entries!I:I,"ESG and Sustainability"))</f>
        <v/>
      </c>
      <c r="I17" t="str">
        <f>IF(A17="","",SUMIFS(Entries!P:P,Entries!E:E,A17,Entries!B:B,$B$1,Entries!D:D,$E$1,Entries!I:I,"Learning and Innovation"))</f>
        <v/>
      </c>
    </row>
    <row r="18" spans="2:9" x14ac:dyDescent="0.35">
      <c r="B18" t="str">
        <f>IF(A18="","",SUMIFS(Entries!P:P,Entries!E:E,A18,Entries!B:B,$B$1,Entries!D:D,$E$1))</f>
        <v/>
      </c>
      <c r="C18" t="str">
        <f t="shared" si="0"/>
        <v/>
      </c>
      <c r="D18" t="str">
        <f>IF(A18="","",SUMIFS(Entries!P:P,Entries!E:E,A18,Entries!B:B,$B$1,Entries!D:D,$E$1,Entries!I:I,"Customers/Stakeholders"))</f>
        <v/>
      </c>
      <c r="E18" t="str">
        <f>IF(A18="","",SUMIFS(Entries!P:P,Entries!E:E,A18,Entries!B:B,$B$1,Entries!D:D,$E$1,Entries!I:I,"Financial"))</f>
        <v/>
      </c>
      <c r="F18" t="str">
        <f>IF(A18="","",SUMIFS(Entries!P:P,Entries!E:E,A18,Entries!B:B,$B$1,Entries!D:D,$E$1,Entries!I:I,"Internal Business Process"))</f>
        <v/>
      </c>
      <c r="G18" t="str">
        <f>IF(A18="","",SUMIFS(Entries!P:P,Entries!E:E,A18,Entries!B:B,$B$1,Entries!D:D,$E$1,Entries!I:I,"People and Culture"))</f>
        <v/>
      </c>
      <c r="H18" t="str">
        <f>IF(A18="","",SUMIFS(Entries!P:P,Entries!E:E,A18,Entries!B:B,$B$1,Entries!D:D,$E$1,Entries!I:I,"ESG and Sustainability"))</f>
        <v/>
      </c>
      <c r="I18" t="str">
        <f>IF(A18="","",SUMIFS(Entries!P:P,Entries!E:E,A18,Entries!B:B,$B$1,Entries!D:D,$E$1,Entries!I:I,"Learning and Innovation"))</f>
        <v/>
      </c>
    </row>
    <row r="19" spans="2:9" x14ac:dyDescent="0.35">
      <c r="B19" t="str">
        <f>IF(A19="","",SUMIFS(Entries!P:P,Entries!E:E,A19,Entries!B:B,$B$1,Entries!D:D,$E$1))</f>
        <v/>
      </c>
      <c r="C19" t="str">
        <f t="shared" si="0"/>
        <v/>
      </c>
      <c r="D19" t="str">
        <f>IF(A19="","",SUMIFS(Entries!P:P,Entries!E:E,A19,Entries!B:B,$B$1,Entries!D:D,$E$1,Entries!I:I,"Customers/Stakeholders"))</f>
        <v/>
      </c>
      <c r="E19" t="str">
        <f>IF(A19="","",SUMIFS(Entries!P:P,Entries!E:E,A19,Entries!B:B,$B$1,Entries!D:D,$E$1,Entries!I:I,"Financial"))</f>
        <v/>
      </c>
      <c r="F19" t="str">
        <f>IF(A19="","",SUMIFS(Entries!P:P,Entries!E:E,A19,Entries!B:B,$B$1,Entries!D:D,$E$1,Entries!I:I,"Internal Business Process"))</f>
        <v/>
      </c>
      <c r="G19" t="str">
        <f>IF(A19="","",SUMIFS(Entries!P:P,Entries!E:E,A19,Entries!B:B,$B$1,Entries!D:D,$E$1,Entries!I:I,"People and Culture"))</f>
        <v/>
      </c>
      <c r="H19" t="str">
        <f>IF(A19="","",SUMIFS(Entries!P:P,Entries!E:E,A19,Entries!B:B,$B$1,Entries!D:D,$E$1,Entries!I:I,"ESG and Sustainability"))</f>
        <v/>
      </c>
      <c r="I19" t="str">
        <f>IF(A19="","",SUMIFS(Entries!P:P,Entries!E:E,A19,Entries!B:B,$B$1,Entries!D:D,$E$1,Entries!I:I,"Learning and Innovation"))</f>
        <v/>
      </c>
    </row>
    <row r="20" spans="2:9" x14ac:dyDescent="0.35">
      <c r="B20" t="str">
        <f>IF(A20="","",SUMIFS(Entries!P:P,Entries!E:E,A20,Entries!B:B,$B$1,Entries!D:D,$E$1))</f>
        <v/>
      </c>
      <c r="C20" t="str">
        <f t="shared" si="0"/>
        <v/>
      </c>
      <c r="D20" t="str">
        <f>IF(A20="","",SUMIFS(Entries!P:P,Entries!E:E,A20,Entries!B:B,$B$1,Entries!D:D,$E$1,Entries!I:I,"Customers/Stakeholders"))</f>
        <v/>
      </c>
      <c r="E20" t="str">
        <f>IF(A20="","",SUMIFS(Entries!P:P,Entries!E:E,A20,Entries!B:B,$B$1,Entries!D:D,$E$1,Entries!I:I,"Financial"))</f>
        <v/>
      </c>
      <c r="F20" t="str">
        <f>IF(A20="","",SUMIFS(Entries!P:P,Entries!E:E,A20,Entries!B:B,$B$1,Entries!D:D,$E$1,Entries!I:I,"Internal Business Process"))</f>
        <v/>
      </c>
      <c r="G20" t="str">
        <f>IF(A20="","",SUMIFS(Entries!P:P,Entries!E:E,A20,Entries!B:B,$B$1,Entries!D:D,$E$1,Entries!I:I,"People and Culture"))</f>
        <v/>
      </c>
      <c r="H20" t="str">
        <f>IF(A20="","",SUMIFS(Entries!P:P,Entries!E:E,A20,Entries!B:B,$B$1,Entries!D:D,$E$1,Entries!I:I,"ESG and Sustainability"))</f>
        <v/>
      </c>
      <c r="I20" t="str">
        <f>IF(A20="","",SUMIFS(Entries!P:P,Entries!E:E,A20,Entries!B:B,$B$1,Entries!D:D,$E$1,Entries!I:I,"Learning and Innovation"))</f>
        <v/>
      </c>
    </row>
    <row r="21" spans="2:9" x14ac:dyDescent="0.35">
      <c r="B21" t="str">
        <f>IF(A21="","",SUMIFS(Entries!P:P,Entries!E:E,A21,Entries!B:B,$B$1,Entries!D:D,$E$1))</f>
        <v/>
      </c>
      <c r="C21" t="str">
        <f t="shared" si="0"/>
        <v/>
      </c>
      <c r="D21" t="str">
        <f>IF(A21="","",SUMIFS(Entries!P:P,Entries!E:E,A21,Entries!B:B,$B$1,Entries!D:D,$E$1,Entries!I:I,"Customers/Stakeholders"))</f>
        <v/>
      </c>
      <c r="E21" t="str">
        <f>IF(A21="","",SUMIFS(Entries!P:P,Entries!E:E,A21,Entries!B:B,$B$1,Entries!D:D,$E$1,Entries!I:I,"Financial"))</f>
        <v/>
      </c>
      <c r="F21" t="str">
        <f>IF(A21="","",SUMIFS(Entries!P:P,Entries!E:E,A21,Entries!B:B,$B$1,Entries!D:D,$E$1,Entries!I:I,"Internal Business Process"))</f>
        <v/>
      </c>
      <c r="G21" t="str">
        <f>IF(A21="","",SUMIFS(Entries!P:P,Entries!E:E,A21,Entries!B:B,$B$1,Entries!D:D,$E$1,Entries!I:I,"People and Culture"))</f>
        <v/>
      </c>
      <c r="H21" t="str">
        <f>IF(A21="","",SUMIFS(Entries!P:P,Entries!E:E,A21,Entries!B:B,$B$1,Entries!D:D,$E$1,Entries!I:I,"ESG and Sustainability"))</f>
        <v/>
      </c>
      <c r="I21" t="str">
        <f>IF(A21="","",SUMIFS(Entries!P:P,Entries!E:E,A21,Entries!B:B,$B$1,Entries!D:D,$E$1,Entries!I:I,"Learning and Innovation"))</f>
        <v/>
      </c>
    </row>
    <row r="22" spans="2:9" x14ac:dyDescent="0.35">
      <c r="B22" t="str">
        <f>IF(A22="","",SUMIFS(Entries!P:P,Entries!E:E,A22,Entries!B:B,$B$1,Entries!D:D,$E$1))</f>
        <v/>
      </c>
      <c r="C22" t="str">
        <f t="shared" si="0"/>
        <v/>
      </c>
      <c r="D22" t="str">
        <f>IF(A22="","",SUMIFS(Entries!P:P,Entries!E:E,A22,Entries!B:B,$B$1,Entries!D:D,$E$1,Entries!I:I,"Customers/Stakeholders"))</f>
        <v/>
      </c>
      <c r="E22" t="str">
        <f>IF(A22="","",SUMIFS(Entries!P:P,Entries!E:E,A22,Entries!B:B,$B$1,Entries!D:D,$E$1,Entries!I:I,"Financial"))</f>
        <v/>
      </c>
      <c r="F22" t="str">
        <f>IF(A22="","",SUMIFS(Entries!P:P,Entries!E:E,A22,Entries!B:B,$B$1,Entries!D:D,$E$1,Entries!I:I,"Internal Business Process"))</f>
        <v/>
      </c>
      <c r="G22" t="str">
        <f>IF(A22="","",SUMIFS(Entries!P:P,Entries!E:E,A22,Entries!B:B,$B$1,Entries!D:D,$E$1,Entries!I:I,"People and Culture"))</f>
        <v/>
      </c>
      <c r="H22" t="str">
        <f>IF(A22="","",SUMIFS(Entries!P:P,Entries!E:E,A22,Entries!B:B,$B$1,Entries!D:D,$E$1,Entries!I:I,"ESG and Sustainability"))</f>
        <v/>
      </c>
      <c r="I22" t="str">
        <f>IF(A22="","",SUMIFS(Entries!P:P,Entries!E:E,A22,Entries!B:B,$B$1,Entries!D:D,$E$1,Entries!I:I,"Learning and Innovation"))</f>
        <v/>
      </c>
    </row>
    <row r="23" spans="2:9" x14ac:dyDescent="0.35">
      <c r="B23" t="str">
        <f>IF(A23="","",SUMIFS(Entries!P:P,Entries!E:E,A23,Entries!B:B,$B$1,Entries!D:D,$E$1))</f>
        <v/>
      </c>
      <c r="C23" t="str">
        <f t="shared" si="0"/>
        <v/>
      </c>
      <c r="D23" t="str">
        <f>IF(A23="","",SUMIFS(Entries!P:P,Entries!E:E,A23,Entries!B:B,$B$1,Entries!D:D,$E$1,Entries!I:I,"Customers/Stakeholders"))</f>
        <v/>
      </c>
      <c r="E23" t="str">
        <f>IF(A23="","",SUMIFS(Entries!P:P,Entries!E:E,A23,Entries!B:B,$B$1,Entries!D:D,$E$1,Entries!I:I,"Financial"))</f>
        <v/>
      </c>
      <c r="F23" t="str">
        <f>IF(A23="","",SUMIFS(Entries!P:P,Entries!E:E,A23,Entries!B:B,$B$1,Entries!D:D,$E$1,Entries!I:I,"Internal Business Process"))</f>
        <v/>
      </c>
      <c r="G23" t="str">
        <f>IF(A23="","",SUMIFS(Entries!P:P,Entries!E:E,A23,Entries!B:B,$B$1,Entries!D:D,$E$1,Entries!I:I,"People and Culture"))</f>
        <v/>
      </c>
      <c r="H23" t="str">
        <f>IF(A23="","",SUMIFS(Entries!P:P,Entries!E:E,A23,Entries!B:B,$B$1,Entries!D:D,$E$1,Entries!I:I,"ESG and Sustainability"))</f>
        <v/>
      </c>
      <c r="I23" t="str">
        <f>IF(A23="","",SUMIFS(Entries!P:P,Entries!E:E,A23,Entries!B:B,$B$1,Entries!D:D,$E$1,Entries!I:I,"Learning and Innovation"))</f>
        <v/>
      </c>
    </row>
    <row r="24" spans="2:9" x14ac:dyDescent="0.35">
      <c r="B24" t="str">
        <f>IF(A24="","",SUMIFS(Entries!P:P,Entries!E:E,A24,Entries!B:B,$B$1,Entries!D:D,$E$1))</f>
        <v/>
      </c>
      <c r="C24" t="str">
        <f t="shared" si="0"/>
        <v/>
      </c>
      <c r="D24" t="str">
        <f>IF(A24="","",SUMIFS(Entries!P:P,Entries!E:E,A24,Entries!B:B,$B$1,Entries!D:D,$E$1,Entries!I:I,"Customers/Stakeholders"))</f>
        <v/>
      </c>
      <c r="E24" t="str">
        <f>IF(A24="","",SUMIFS(Entries!P:P,Entries!E:E,A24,Entries!B:B,$B$1,Entries!D:D,$E$1,Entries!I:I,"Financial"))</f>
        <v/>
      </c>
      <c r="F24" t="str">
        <f>IF(A24="","",SUMIFS(Entries!P:P,Entries!E:E,A24,Entries!B:B,$B$1,Entries!D:D,$E$1,Entries!I:I,"Internal Business Process"))</f>
        <v/>
      </c>
      <c r="G24" t="str">
        <f>IF(A24="","",SUMIFS(Entries!P:P,Entries!E:E,A24,Entries!B:B,$B$1,Entries!D:D,$E$1,Entries!I:I,"People and Culture"))</f>
        <v/>
      </c>
      <c r="H24" t="str">
        <f>IF(A24="","",SUMIFS(Entries!P:P,Entries!E:E,A24,Entries!B:B,$B$1,Entries!D:D,$E$1,Entries!I:I,"ESG and Sustainability"))</f>
        <v/>
      </c>
      <c r="I24" t="str">
        <f>IF(A24="","",SUMIFS(Entries!P:P,Entries!E:E,A24,Entries!B:B,$B$1,Entries!D:D,$E$1,Entries!I:I,"Learning and Innovation"))</f>
        <v/>
      </c>
    </row>
    <row r="25" spans="2:9" x14ac:dyDescent="0.35">
      <c r="B25" t="str">
        <f>IF(A25="","",SUMIFS(Entries!P:P,Entries!E:E,A25,Entries!B:B,$B$1,Entries!D:D,$E$1))</f>
        <v/>
      </c>
      <c r="C25" t="str">
        <f t="shared" si="0"/>
        <v/>
      </c>
      <c r="D25" t="str">
        <f>IF(A25="","",SUMIFS(Entries!P:P,Entries!E:E,A25,Entries!B:B,$B$1,Entries!D:D,$E$1,Entries!I:I,"Customers/Stakeholders"))</f>
        <v/>
      </c>
      <c r="E25" t="str">
        <f>IF(A25="","",SUMIFS(Entries!P:P,Entries!E:E,A25,Entries!B:B,$B$1,Entries!D:D,$E$1,Entries!I:I,"Financial"))</f>
        <v/>
      </c>
      <c r="F25" t="str">
        <f>IF(A25="","",SUMIFS(Entries!P:P,Entries!E:E,A25,Entries!B:B,$B$1,Entries!D:D,$E$1,Entries!I:I,"Internal Business Process"))</f>
        <v/>
      </c>
      <c r="G25" t="str">
        <f>IF(A25="","",SUMIFS(Entries!P:P,Entries!E:E,A25,Entries!B:B,$B$1,Entries!D:D,$E$1,Entries!I:I,"People and Culture"))</f>
        <v/>
      </c>
      <c r="H25" t="str">
        <f>IF(A25="","",SUMIFS(Entries!P:P,Entries!E:E,A25,Entries!B:B,$B$1,Entries!D:D,$E$1,Entries!I:I,"ESG and Sustainability"))</f>
        <v/>
      </c>
      <c r="I25" t="str">
        <f>IF(A25="","",SUMIFS(Entries!P:P,Entries!E:E,A25,Entries!B:B,$B$1,Entries!D:D,$E$1,Entries!I:I,"Learning and Innovation"))</f>
        <v/>
      </c>
    </row>
    <row r="26" spans="2:9" x14ac:dyDescent="0.35">
      <c r="B26" t="str">
        <f>IF(A26="","",SUMIFS(Entries!P:P,Entries!E:E,A26,Entries!B:B,$B$1,Entries!D:D,$E$1))</f>
        <v/>
      </c>
      <c r="C26" t="str">
        <f t="shared" si="0"/>
        <v/>
      </c>
      <c r="D26" t="str">
        <f>IF(A26="","",SUMIFS(Entries!P:P,Entries!E:E,A26,Entries!B:B,$B$1,Entries!D:D,$E$1,Entries!I:I,"Customers/Stakeholders"))</f>
        <v/>
      </c>
      <c r="E26" t="str">
        <f>IF(A26="","",SUMIFS(Entries!P:P,Entries!E:E,A26,Entries!B:B,$B$1,Entries!D:D,$E$1,Entries!I:I,"Financial"))</f>
        <v/>
      </c>
      <c r="F26" t="str">
        <f>IF(A26="","",SUMIFS(Entries!P:P,Entries!E:E,A26,Entries!B:B,$B$1,Entries!D:D,$E$1,Entries!I:I,"Internal Business Process"))</f>
        <v/>
      </c>
      <c r="G26" t="str">
        <f>IF(A26="","",SUMIFS(Entries!P:P,Entries!E:E,A26,Entries!B:B,$B$1,Entries!D:D,$E$1,Entries!I:I,"People and Culture"))</f>
        <v/>
      </c>
      <c r="H26" t="str">
        <f>IF(A26="","",SUMIFS(Entries!P:P,Entries!E:E,A26,Entries!B:B,$B$1,Entries!D:D,$E$1,Entries!I:I,"ESG and Sustainability"))</f>
        <v/>
      </c>
      <c r="I26" t="str">
        <f>IF(A26="","",SUMIFS(Entries!P:P,Entries!E:E,A26,Entries!B:B,$B$1,Entries!D:D,$E$1,Entries!I:I,"Learning and Innovation"))</f>
        <v/>
      </c>
    </row>
    <row r="27" spans="2:9" x14ac:dyDescent="0.35">
      <c r="B27" t="str">
        <f>IF(A27="","",SUMIFS(Entries!P:P,Entries!E:E,A27,Entries!B:B,$B$1,Entries!D:D,$E$1))</f>
        <v/>
      </c>
      <c r="C27" t="str">
        <f t="shared" si="0"/>
        <v/>
      </c>
      <c r="D27" t="str">
        <f>IF(A27="","",SUMIFS(Entries!P:P,Entries!E:E,A27,Entries!B:B,$B$1,Entries!D:D,$E$1,Entries!I:I,"Customers/Stakeholders"))</f>
        <v/>
      </c>
      <c r="E27" t="str">
        <f>IF(A27="","",SUMIFS(Entries!P:P,Entries!E:E,A27,Entries!B:B,$B$1,Entries!D:D,$E$1,Entries!I:I,"Financial"))</f>
        <v/>
      </c>
      <c r="F27" t="str">
        <f>IF(A27="","",SUMIFS(Entries!P:P,Entries!E:E,A27,Entries!B:B,$B$1,Entries!D:D,$E$1,Entries!I:I,"Internal Business Process"))</f>
        <v/>
      </c>
      <c r="G27" t="str">
        <f>IF(A27="","",SUMIFS(Entries!P:P,Entries!E:E,A27,Entries!B:B,$B$1,Entries!D:D,$E$1,Entries!I:I,"People and Culture"))</f>
        <v/>
      </c>
      <c r="H27" t="str">
        <f>IF(A27="","",SUMIFS(Entries!P:P,Entries!E:E,A27,Entries!B:B,$B$1,Entries!D:D,$E$1,Entries!I:I,"ESG and Sustainability"))</f>
        <v/>
      </c>
      <c r="I27" t="str">
        <f>IF(A27="","",SUMIFS(Entries!P:P,Entries!E:E,A27,Entries!B:B,$B$1,Entries!D:D,$E$1,Entries!I:I,"Learning and Innovation"))</f>
        <v/>
      </c>
    </row>
    <row r="28" spans="2:9" x14ac:dyDescent="0.35">
      <c r="B28" t="str">
        <f>IF(A28="","",SUMIFS(Entries!P:P,Entries!E:E,A28,Entries!B:B,$B$1,Entries!D:D,$E$1))</f>
        <v/>
      </c>
      <c r="C28" t="str">
        <f t="shared" si="0"/>
        <v/>
      </c>
      <c r="D28" t="str">
        <f>IF(A28="","",SUMIFS(Entries!P:P,Entries!E:E,A28,Entries!B:B,$B$1,Entries!D:D,$E$1,Entries!I:I,"Customers/Stakeholders"))</f>
        <v/>
      </c>
      <c r="E28" t="str">
        <f>IF(A28="","",SUMIFS(Entries!P:P,Entries!E:E,A28,Entries!B:B,$B$1,Entries!D:D,$E$1,Entries!I:I,"Financial"))</f>
        <v/>
      </c>
      <c r="F28" t="str">
        <f>IF(A28="","",SUMIFS(Entries!P:P,Entries!E:E,A28,Entries!B:B,$B$1,Entries!D:D,$E$1,Entries!I:I,"Internal Business Process"))</f>
        <v/>
      </c>
      <c r="G28" t="str">
        <f>IF(A28="","",SUMIFS(Entries!P:P,Entries!E:E,A28,Entries!B:B,$B$1,Entries!D:D,$E$1,Entries!I:I,"People and Culture"))</f>
        <v/>
      </c>
      <c r="H28" t="str">
        <f>IF(A28="","",SUMIFS(Entries!P:P,Entries!E:E,A28,Entries!B:B,$B$1,Entries!D:D,$E$1,Entries!I:I,"ESG and Sustainability"))</f>
        <v/>
      </c>
      <c r="I28" t="str">
        <f>IF(A28="","",SUMIFS(Entries!P:P,Entries!E:E,A28,Entries!B:B,$B$1,Entries!D:D,$E$1,Entries!I:I,"Learning and Innovation"))</f>
        <v/>
      </c>
    </row>
    <row r="29" spans="2:9" x14ac:dyDescent="0.35">
      <c r="B29" t="str">
        <f>IF(A29="","",SUMIFS(Entries!P:P,Entries!E:E,A29,Entries!B:B,$B$1,Entries!D:D,$E$1))</f>
        <v/>
      </c>
      <c r="C29" t="str">
        <f t="shared" si="0"/>
        <v/>
      </c>
      <c r="D29" t="str">
        <f>IF(A29="","",SUMIFS(Entries!P:P,Entries!E:E,A29,Entries!B:B,$B$1,Entries!D:D,$E$1,Entries!I:I,"Customers/Stakeholders"))</f>
        <v/>
      </c>
      <c r="E29" t="str">
        <f>IF(A29="","",SUMIFS(Entries!P:P,Entries!E:E,A29,Entries!B:B,$B$1,Entries!D:D,$E$1,Entries!I:I,"Financial"))</f>
        <v/>
      </c>
      <c r="F29" t="str">
        <f>IF(A29="","",SUMIFS(Entries!P:P,Entries!E:E,A29,Entries!B:B,$B$1,Entries!D:D,$E$1,Entries!I:I,"Internal Business Process"))</f>
        <v/>
      </c>
      <c r="G29" t="str">
        <f>IF(A29="","",SUMIFS(Entries!P:P,Entries!E:E,A29,Entries!B:B,$B$1,Entries!D:D,$E$1,Entries!I:I,"People and Culture"))</f>
        <v/>
      </c>
      <c r="H29" t="str">
        <f>IF(A29="","",SUMIFS(Entries!P:P,Entries!E:E,A29,Entries!B:B,$B$1,Entries!D:D,$E$1,Entries!I:I,"ESG and Sustainability"))</f>
        <v/>
      </c>
      <c r="I29" t="str">
        <f>IF(A29="","",SUMIFS(Entries!P:P,Entries!E:E,A29,Entries!B:B,$B$1,Entries!D:D,$E$1,Entries!I:I,"Learning and Innovation"))</f>
        <v/>
      </c>
    </row>
    <row r="30" spans="2:9" x14ac:dyDescent="0.35">
      <c r="B30" t="str">
        <f>IF(A30="","",SUMIFS(Entries!P:P,Entries!E:E,A30,Entries!B:B,$B$1,Entries!D:D,$E$1))</f>
        <v/>
      </c>
      <c r="C30" t="str">
        <f t="shared" si="0"/>
        <v/>
      </c>
      <c r="D30" t="str">
        <f>IF(A30="","",SUMIFS(Entries!P:P,Entries!E:E,A30,Entries!B:B,$B$1,Entries!D:D,$E$1,Entries!I:I,"Customers/Stakeholders"))</f>
        <v/>
      </c>
      <c r="E30" t="str">
        <f>IF(A30="","",SUMIFS(Entries!P:P,Entries!E:E,A30,Entries!B:B,$B$1,Entries!D:D,$E$1,Entries!I:I,"Financial"))</f>
        <v/>
      </c>
      <c r="F30" t="str">
        <f>IF(A30="","",SUMIFS(Entries!P:P,Entries!E:E,A30,Entries!B:B,$B$1,Entries!D:D,$E$1,Entries!I:I,"Internal Business Process"))</f>
        <v/>
      </c>
      <c r="G30" t="str">
        <f>IF(A30="","",SUMIFS(Entries!P:P,Entries!E:E,A30,Entries!B:B,$B$1,Entries!D:D,$E$1,Entries!I:I,"People and Culture"))</f>
        <v/>
      </c>
      <c r="H30" t="str">
        <f>IF(A30="","",SUMIFS(Entries!P:P,Entries!E:E,A30,Entries!B:B,$B$1,Entries!D:D,$E$1,Entries!I:I,"ESG and Sustainability"))</f>
        <v/>
      </c>
      <c r="I30" t="str">
        <f>IF(A30="","",SUMIFS(Entries!P:P,Entries!E:E,A30,Entries!B:B,$B$1,Entries!D:D,$E$1,Entries!I:I,"Learning and Innovation"))</f>
        <v/>
      </c>
    </row>
    <row r="31" spans="2:9" x14ac:dyDescent="0.35">
      <c r="B31" t="str">
        <f>IF(A31="","",SUMIFS(Entries!P:P,Entries!E:E,A31,Entries!B:B,$B$1,Entries!D:D,$E$1))</f>
        <v/>
      </c>
      <c r="C31" t="str">
        <f t="shared" si="0"/>
        <v/>
      </c>
      <c r="D31" t="str">
        <f>IF(A31="","",SUMIFS(Entries!P:P,Entries!E:E,A31,Entries!B:B,$B$1,Entries!D:D,$E$1,Entries!I:I,"Customers/Stakeholders"))</f>
        <v/>
      </c>
      <c r="E31" t="str">
        <f>IF(A31="","",SUMIFS(Entries!P:P,Entries!E:E,A31,Entries!B:B,$B$1,Entries!D:D,$E$1,Entries!I:I,"Financial"))</f>
        <v/>
      </c>
      <c r="F31" t="str">
        <f>IF(A31="","",SUMIFS(Entries!P:P,Entries!E:E,A31,Entries!B:B,$B$1,Entries!D:D,$E$1,Entries!I:I,"Internal Business Process"))</f>
        <v/>
      </c>
      <c r="G31" t="str">
        <f>IF(A31="","",SUMIFS(Entries!P:P,Entries!E:E,A31,Entries!B:B,$B$1,Entries!D:D,$E$1,Entries!I:I,"People and Culture"))</f>
        <v/>
      </c>
      <c r="H31" t="str">
        <f>IF(A31="","",SUMIFS(Entries!P:P,Entries!E:E,A31,Entries!B:B,$B$1,Entries!D:D,$E$1,Entries!I:I,"ESG and Sustainability"))</f>
        <v/>
      </c>
      <c r="I31" t="str">
        <f>IF(A31="","",SUMIFS(Entries!P:P,Entries!E:E,A31,Entries!B:B,$B$1,Entries!D:D,$E$1,Entries!I:I,"Learning and Innovation"))</f>
        <v/>
      </c>
    </row>
    <row r="32" spans="2:9" x14ac:dyDescent="0.35">
      <c r="B32" t="str">
        <f>IF(A32="","",SUMIFS(Entries!P:P,Entries!E:E,A32,Entries!B:B,$B$1,Entries!D:D,$E$1))</f>
        <v/>
      </c>
      <c r="C32" t="str">
        <f t="shared" si="0"/>
        <v/>
      </c>
      <c r="D32" t="str">
        <f>IF(A32="","",SUMIFS(Entries!P:P,Entries!E:E,A32,Entries!B:B,$B$1,Entries!D:D,$E$1,Entries!I:I,"Customers/Stakeholders"))</f>
        <v/>
      </c>
      <c r="E32" t="str">
        <f>IF(A32="","",SUMIFS(Entries!P:P,Entries!E:E,A32,Entries!B:B,$B$1,Entries!D:D,$E$1,Entries!I:I,"Financial"))</f>
        <v/>
      </c>
      <c r="F32" t="str">
        <f>IF(A32="","",SUMIFS(Entries!P:P,Entries!E:E,A32,Entries!B:B,$B$1,Entries!D:D,$E$1,Entries!I:I,"Internal Business Process"))</f>
        <v/>
      </c>
      <c r="G32" t="str">
        <f>IF(A32="","",SUMIFS(Entries!P:P,Entries!E:E,A32,Entries!B:B,$B$1,Entries!D:D,$E$1,Entries!I:I,"People and Culture"))</f>
        <v/>
      </c>
      <c r="H32" t="str">
        <f>IF(A32="","",SUMIFS(Entries!P:P,Entries!E:E,A32,Entries!B:B,$B$1,Entries!D:D,$E$1,Entries!I:I,"ESG and Sustainability"))</f>
        <v/>
      </c>
      <c r="I32" t="str">
        <f>IF(A32="","",SUMIFS(Entries!P:P,Entries!E:E,A32,Entries!B:B,$B$1,Entries!D:D,$E$1,Entries!I:I,"Learning and Innovation"))</f>
        <v/>
      </c>
    </row>
    <row r="33" spans="2:9" x14ac:dyDescent="0.35">
      <c r="B33" t="str">
        <f>IF(A33="","",SUMIFS(Entries!P:P,Entries!E:E,A33,Entries!B:B,$B$1,Entries!D:D,$E$1))</f>
        <v/>
      </c>
      <c r="C33" t="str">
        <f t="shared" si="0"/>
        <v/>
      </c>
      <c r="D33" t="str">
        <f>IF(A33="","",SUMIFS(Entries!P:P,Entries!E:E,A33,Entries!B:B,$B$1,Entries!D:D,$E$1,Entries!I:I,"Customers/Stakeholders"))</f>
        <v/>
      </c>
      <c r="E33" t="str">
        <f>IF(A33="","",SUMIFS(Entries!P:P,Entries!E:E,A33,Entries!B:B,$B$1,Entries!D:D,$E$1,Entries!I:I,"Financial"))</f>
        <v/>
      </c>
      <c r="F33" t="str">
        <f>IF(A33="","",SUMIFS(Entries!P:P,Entries!E:E,A33,Entries!B:B,$B$1,Entries!D:D,$E$1,Entries!I:I,"Internal Business Process"))</f>
        <v/>
      </c>
      <c r="G33" t="str">
        <f>IF(A33="","",SUMIFS(Entries!P:P,Entries!E:E,A33,Entries!B:B,$B$1,Entries!D:D,$E$1,Entries!I:I,"People and Culture"))</f>
        <v/>
      </c>
      <c r="H33" t="str">
        <f>IF(A33="","",SUMIFS(Entries!P:P,Entries!E:E,A33,Entries!B:B,$B$1,Entries!D:D,$E$1,Entries!I:I,"ESG and Sustainability"))</f>
        <v/>
      </c>
      <c r="I33" t="str">
        <f>IF(A33="","",SUMIFS(Entries!P:P,Entries!E:E,A33,Entries!B:B,$B$1,Entries!D:D,$E$1,Entries!I:I,"Learning and Innovation"))</f>
        <v/>
      </c>
    </row>
    <row r="34" spans="2:9" x14ac:dyDescent="0.35">
      <c r="B34" t="str">
        <f>IF(A34="","",SUMIFS(Entries!P:P,Entries!E:E,A34,Entries!B:B,$B$1,Entries!D:D,$E$1))</f>
        <v/>
      </c>
      <c r="C34" t="str">
        <f t="shared" si="0"/>
        <v/>
      </c>
      <c r="D34" t="str">
        <f>IF(A34="","",SUMIFS(Entries!P:P,Entries!E:E,A34,Entries!B:B,$B$1,Entries!D:D,$E$1,Entries!I:I,"Customers/Stakeholders"))</f>
        <v/>
      </c>
      <c r="E34" t="str">
        <f>IF(A34="","",SUMIFS(Entries!P:P,Entries!E:E,A34,Entries!B:B,$B$1,Entries!D:D,$E$1,Entries!I:I,"Financial"))</f>
        <v/>
      </c>
      <c r="F34" t="str">
        <f>IF(A34="","",SUMIFS(Entries!P:P,Entries!E:E,A34,Entries!B:B,$B$1,Entries!D:D,$E$1,Entries!I:I,"Internal Business Process"))</f>
        <v/>
      </c>
      <c r="G34" t="str">
        <f>IF(A34="","",SUMIFS(Entries!P:P,Entries!E:E,A34,Entries!B:B,$B$1,Entries!D:D,$E$1,Entries!I:I,"People and Culture"))</f>
        <v/>
      </c>
      <c r="H34" t="str">
        <f>IF(A34="","",SUMIFS(Entries!P:P,Entries!E:E,A34,Entries!B:B,$B$1,Entries!D:D,$E$1,Entries!I:I,"ESG and Sustainability"))</f>
        <v/>
      </c>
      <c r="I34" t="str">
        <f>IF(A34="","",SUMIFS(Entries!P:P,Entries!E:E,A34,Entries!B:B,$B$1,Entries!D:D,$E$1,Entries!I:I,"Learning and Innovation"))</f>
        <v/>
      </c>
    </row>
    <row r="35" spans="2:9" x14ac:dyDescent="0.35">
      <c r="B35" t="str">
        <f>IF(A35="","",SUMIFS(Entries!P:P,Entries!E:E,A35,Entries!B:B,$B$1,Entries!D:D,$E$1))</f>
        <v/>
      </c>
      <c r="C35" t="str">
        <f t="shared" ref="C35:C66" si="1">IF(B35="","",IF(B35&gt;=4,"Green",IF(B35&gt;=3,"Amber","Red")))</f>
        <v/>
      </c>
      <c r="D35" t="str">
        <f>IF(A35="","",SUMIFS(Entries!P:P,Entries!E:E,A35,Entries!B:B,$B$1,Entries!D:D,$E$1,Entries!I:I,"Customers/Stakeholders"))</f>
        <v/>
      </c>
      <c r="E35" t="str">
        <f>IF(A35="","",SUMIFS(Entries!P:P,Entries!E:E,A35,Entries!B:B,$B$1,Entries!D:D,$E$1,Entries!I:I,"Financial"))</f>
        <v/>
      </c>
      <c r="F35" t="str">
        <f>IF(A35="","",SUMIFS(Entries!P:P,Entries!E:E,A35,Entries!B:B,$B$1,Entries!D:D,$E$1,Entries!I:I,"Internal Business Process"))</f>
        <v/>
      </c>
      <c r="G35" t="str">
        <f>IF(A35="","",SUMIFS(Entries!P:P,Entries!E:E,A35,Entries!B:B,$B$1,Entries!D:D,$E$1,Entries!I:I,"People and Culture"))</f>
        <v/>
      </c>
      <c r="H35" t="str">
        <f>IF(A35="","",SUMIFS(Entries!P:P,Entries!E:E,A35,Entries!B:B,$B$1,Entries!D:D,$E$1,Entries!I:I,"ESG and Sustainability"))</f>
        <v/>
      </c>
      <c r="I35" t="str">
        <f>IF(A35="","",SUMIFS(Entries!P:P,Entries!E:E,A35,Entries!B:B,$B$1,Entries!D:D,$E$1,Entries!I:I,"Learning and Innovation"))</f>
        <v/>
      </c>
    </row>
    <row r="36" spans="2:9" x14ac:dyDescent="0.35">
      <c r="B36" t="str">
        <f>IF(A36="","",SUMIFS(Entries!P:P,Entries!E:E,A36,Entries!B:B,$B$1,Entries!D:D,$E$1))</f>
        <v/>
      </c>
      <c r="C36" t="str">
        <f t="shared" si="1"/>
        <v/>
      </c>
      <c r="D36" t="str">
        <f>IF(A36="","",SUMIFS(Entries!P:P,Entries!E:E,A36,Entries!B:B,$B$1,Entries!D:D,$E$1,Entries!I:I,"Customers/Stakeholders"))</f>
        <v/>
      </c>
      <c r="E36" t="str">
        <f>IF(A36="","",SUMIFS(Entries!P:P,Entries!E:E,A36,Entries!B:B,$B$1,Entries!D:D,$E$1,Entries!I:I,"Financial"))</f>
        <v/>
      </c>
      <c r="F36" t="str">
        <f>IF(A36="","",SUMIFS(Entries!P:P,Entries!E:E,A36,Entries!B:B,$B$1,Entries!D:D,$E$1,Entries!I:I,"Internal Business Process"))</f>
        <v/>
      </c>
      <c r="G36" t="str">
        <f>IF(A36="","",SUMIFS(Entries!P:P,Entries!E:E,A36,Entries!B:B,$B$1,Entries!D:D,$E$1,Entries!I:I,"People and Culture"))</f>
        <v/>
      </c>
      <c r="H36" t="str">
        <f>IF(A36="","",SUMIFS(Entries!P:P,Entries!E:E,A36,Entries!B:B,$B$1,Entries!D:D,$E$1,Entries!I:I,"ESG and Sustainability"))</f>
        <v/>
      </c>
      <c r="I36" t="str">
        <f>IF(A36="","",SUMIFS(Entries!P:P,Entries!E:E,A36,Entries!B:B,$B$1,Entries!D:D,$E$1,Entries!I:I,"Learning and Innovation"))</f>
        <v/>
      </c>
    </row>
    <row r="37" spans="2:9" x14ac:dyDescent="0.35">
      <c r="B37" t="str">
        <f>IF(A37="","",SUMIFS(Entries!P:P,Entries!E:E,A37,Entries!B:B,$B$1,Entries!D:D,$E$1))</f>
        <v/>
      </c>
      <c r="C37" t="str">
        <f t="shared" si="1"/>
        <v/>
      </c>
      <c r="D37" t="str">
        <f>IF(A37="","",SUMIFS(Entries!P:P,Entries!E:E,A37,Entries!B:B,$B$1,Entries!D:D,$E$1,Entries!I:I,"Customers/Stakeholders"))</f>
        <v/>
      </c>
      <c r="E37" t="str">
        <f>IF(A37="","",SUMIFS(Entries!P:P,Entries!E:E,A37,Entries!B:B,$B$1,Entries!D:D,$E$1,Entries!I:I,"Financial"))</f>
        <v/>
      </c>
      <c r="F37" t="str">
        <f>IF(A37="","",SUMIFS(Entries!P:P,Entries!E:E,A37,Entries!B:B,$B$1,Entries!D:D,$E$1,Entries!I:I,"Internal Business Process"))</f>
        <v/>
      </c>
      <c r="G37" t="str">
        <f>IF(A37="","",SUMIFS(Entries!P:P,Entries!E:E,A37,Entries!B:B,$B$1,Entries!D:D,$E$1,Entries!I:I,"People and Culture"))</f>
        <v/>
      </c>
      <c r="H37" t="str">
        <f>IF(A37="","",SUMIFS(Entries!P:P,Entries!E:E,A37,Entries!B:B,$B$1,Entries!D:D,$E$1,Entries!I:I,"ESG and Sustainability"))</f>
        <v/>
      </c>
      <c r="I37" t="str">
        <f>IF(A37="","",SUMIFS(Entries!P:P,Entries!E:E,A37,Entries!B:B,$B$1,Entries!D:D,$E$1,Entries!I:I,"Learning and Innovation"))</f>
        <v/>
      </c>
    </row>
    <row r="38" spans="2:9" x14ac:dyDescent="0.35">
      <c r="B38" t="str">
        <f>IF(A38="","",SUMIFS(Entries!P:P,Entries!E:E,A38,Entries!B:B,$B$1,Entries!D:D,$E$1))</f>
        <v/>
      </c>
      <c r="C38" t="str">
        <f t="shared" si="1"/>
        <v/>
      </c>
      <c r="D38" t="str">
        <f>IF(A38="","",SUMIFS(Entries!P:P,Entries!E:E,A38,Entries!B:B,$B$1,Entries!D:D,$E$1,Entries!I:I,"Customers/Stakeholders"))</f>
        <v/>
      </c>
      <c r="E38" t="str">
        <f>IF(A38="","",SUMIFS(Entries!P:P,Entries!E:E,A38,Entries!B:B,$B$1,Entries!D:D,$E$1,Entries!I:I,"Financial"))</f>
        <v/>
      </c>
      <c r="F38" t="str">
        <f>IF(A38="","",SUMIFS(Entries!P:P,Entries!E:E,A38,Entries!B:B,$B$1,Entries!D:D,$E$1,Entries!I:I,"Internal Business Process"))</f>
        <v/>
      </c>
      <c r="G38" t="str">
        <f>IF(A38="","",SUMIFS(Entries!P:P,Entries!E:E,A38,Entries!B:B,$B$1,Entries!D:D,$E$1,Entries!I:I,"People and Culture"))</f>
        <v/>
      </c>
      <c r="H38" t="str">
        <f>IF(A38="","",SUMIFS(Entries!P:P,Entries!E:E,A38,Entries!B:B,$B$1,Entries!D:D,$E$1,Entries!I:I,"ESG and Sustainability"))</f>
        <v/>
      </c>
      <c r="I38" t="str">
        <f>IF(A38="","",SUMIFS(Entries!P:P,Entries!E:E,A38,Entries!B:B,$B$1,Entries!D:D,$E$1,Entries!I:I,"Learning and Innovation"))</f>
        <v/>
      </c>
    </row>
    <row r="39" spans="2:9" x14ac:dyDescent="0.35">
      <c r="B39" t="str">
        <f>IF(A39="","",SUMIFS(Entries!P:P,Entries!E:E,A39,Entries!B:B,$B$1,Entries!D:D,$E$1))</f>
        <v/>
      </c>
      <c r="C39" t="str">
        <f t="shared" si="1"/>
        <v/>
      </c>
      <c r="D39" t="str">
        <f>IF(A39="","",SUMIFS(Entries!P:P,Entries!E:E,A39,Entries!B:B,$B$1,Entries!D:D,$E$1,Entries!I:I,"Customers/Stakeholders"))</f>
        <v/>
      </c>
      <c r="E39" t="str">
        <f>IF(A39="","",SUMIFS(Entries!P:P,Entries!E:E,A39,Entries!B:B,$B$1,Entries!D:D,$E$1,Entries!I:I,"Financial"))</f>
        <v/>
      </c>
      <c r="F39" t="str">
        <f>IF(A39="","",SUMIFS(Entries!P:P,Entries!E:E,A39,Entries!B:B,$B$1,Entries!D:D,$E$1,Entries!I:I,"Internal Business Process"))</f>
        <v/>
      </c>
      <c r="G39" t="str">
        <f>IF(A39="","",SUMIFS(Entries!P:P,Entries!E:E,A39,Entries!B:B,$B$1,Entries!D:D,$E$1,Entries!I:I,"People and Culture"))</f>
        <v/>
      </c>
      <c r="H39" t="str">
        <f>IF(A39="","",SUMIFS(Entries!P:P,Entries!E:E,A39,Entries!B:B,$B$1,Entries!D:D,$E$1,Entries!I:I,"ESG and Sustainability"))</f>
        <v/>
      </c>
      <c r="I39" t="str">
        <f>IF(A39="","",SUMIFS(Entries!P:P,Entries!E:E,A39,Entries!B:B,$B$1,Entries!D:D,$E$1,Entries!I:I,"Learning and Innovation"))</f>
        <v/>
      </c>
    </row>
    <row r="40" spans="2:9" x14ac:dyDescent="0.35">
      <c r="B40" t="str">
        <f>IF(A40="","",SUMIFS(Entries!P:P,Entries!E:E,A40,Entries!B:B,$B$1,Entries!D:D,$E$1))</f>
        <v/>
      </c>
      <c r="C40" t="str">
        <f t="shared" si="1"/>
        <v/>
      </c>
      <c r="D40" t="str">
        <f>IF(A40="","",SUMIFS(Entries!P:P,Entries!E:E,A40,Entries!B:B,$B$1,Entries!D:D,$E$1,Entries!I:I,"Customers/Stakeholders"))</f>
        <v/>
      </c>
      <c r="E40" t="str">
        <f>IF(A40="","",SUMIFS(Entries!P:P,Entries!E:E,A40,Entries!B:B,$B$1,Entries!D:D,$E$1,Entries!I:I,"Financial"))</f>
        <v/>
      </c>
      <c r="F40" t="str">
        <f>IF(A40="","",SUMIFS(Entries!P:P,Entries!E:E,A40,Entries!B:B,$B$1,Entries!D:D,$E$1,Entries!I:I,"Internal Business Process"))</f>
        <v/>
      </c>
      <c r="G40" t="str">
        <f>IF(A40="","",SUMIFS(Entries!P:P,Entries!E:E,A40,Entries!B:B,$B$1,Entries!D:D,$E$1,Entries!I:I,"People and Culture"))</f>
        <v/>
      </c>
      <c r="H40" t="str">
        <f>IF(A40="","",SUMIFS(Entries!P:P,Entries!E:E,A40,Entries!B:B,$B$1,Entries!D:D,$E$1,Entries!I:I,"ESG and Sustainability"))</f>
        <v/>
      </c>
      <c r="I40" t="str">
        <f>IF(A40="","",SUMIFS(Entries!P:P,Entries!E:E,A40,Entries!B:B,$B$1,Entries!D:D,$E$1,Entries!I:I,"Learning and Innovation"))</f>
        <v/>
      </c>
    </row>
    <row r="41" spans="2:9" x14ac:dyDescent="0.35">
      <c r="B41" t="str">
        <f>IF(A41="","",SUMIFS(Entries!P:P,Entries!E:E,A41,Entries!B:B,$B$1,Entries!D:D,$E$1))</f>
        <v/>
      </c>
      <c r="C41" t="str">
        <f t="shared" si="1"/>
        <v/>
      </c>
      <c r="D41" t="str">
        <f>IF(A41="","",SUMIFS(Entries!P:P,Entries!E:E,A41,Entries!B:B,$B$1,Entries!D:D,$E$1,Entries!I:I,"Customers/Stakeholders"))</f>
        <v/>
      </c>
      <c r="E41" t="str">
        <f>IF(A41="","",SUMIFS(Entries!P:P,Entries!E:E,A41,Entries!B:B,$B$1,Entries!D:D,$E$1,Entries!I:I,"Financial"))</f>
        <v/>
      </c>
      <c r="F41" t="str">
        <f>IF(A41="","",SUMIFS(Entries!P:P,Entries!E:E,A41,Entries!B:B,$B$1,Entries!D:D,$E$1,Entries!I:I,"Internal Business Process"))</f>
        <v/>
      </c>
      <c r="G41" t="str">
        <f>IF(A41="","",SUMIFS(Entries!P:P,Entries!E:E,A41,Entries!B:B,$B$1,Entries!D:D,$E$1,Entries!I:I,"People and Culture"))</f>
        <v/>
      </c>
      <c r="H41" t="str">
        <f>IF(A41="","",SUMIFS(Entries!P:P,Entries!E:E,A41,Entries!B:B,$B$1,Entries!D:D,$E$1,Entries!I:I,"ESG and Sustainability"))</f>
        <v/>
      </c>
      <c r="I41" t="str">
        <f>IF(A41="","",SUMIFS(Entries!P:P,Entries!E:E,A41,Entries!B:B,$B$1,Entries!D:D,$E$1,Entries!I:I,"Learning and Innovation"))</f>
        <v/>
      </c>
    </row>
    <row r="42" spans="2:9" x14ac:dyDescent="0.35">
      <c r="B42" t="str">
        <f>IF(A42="","",SUMIFS(Entries!P:P,Entries!E:E,A42,Entries!B:B,$B$1,Entries!D:D,$E$1))</f>
        <v/>
      </c>
      <c r="C42" t="str">
        <f t="shared" si="1"/>
        <v/>
      </c>
      <c r="D42" t="str">
        <f>IF(A42="","",SUMIFS(Entries!P:P,Entries!E:E,A42,Entries!B:B,$B$1,Entries!D:D,$E$1,Entries!I:I,"Customers/Stakeholders"))</f>
        <v/>
      </c>
      <c r="E42" t="str">
        <f>IF(A42="","",SUMIFS(Entries!P:P,Entries!E:E,A42,Entries!B:B,$B$1,Entries!D:D,$E$1,Entries!I:I,"Financial"))</f>
        <v/>
      </c>
      <c r="F42" t="str">
        <f>IF(A42="","",SUMIFS(Entries!P:P,Entries!E:E,A42,Entries!B:B,$B$1,Entries!D:D,$E$1,Entries!I:I,"Internal Business Process"))</f>
        <v/>
      </c>
      <c r="G42" t="str">
        <f>IF(A42="","",SUMIFS(Entries!P:P,Entries!E:E,A42,Entries!B:B,$B$1,Entries!D:D,$E$1,Entries!I:I,"People and Culture"))</f>
        <v/>
      </c>
      <c r="H42" t="str">
        <f>IF(A42="","",SUMIFS(Entries!P:P,Entries!E:E,A42,Entries!B:B,$B$1,Entries!D:D,$E$1,Entries!I:I,"ESG and Sustainability"))</f>
        <v/>
      </c>
      <c r="I42" t="str">
        <f>IF(A42="","",SUMIFS(Entries!P:P,Entries!E:E,A42,Entries!B:B,$B$1,Entries!D:D,$E$1,Entries!I:I,"Learning and Innovation"))</f>
        <v/>
      </c>
    </row>
    <row r="43" spans="2:9" x14ac:dyDescent="0.35">
      <c r="B43" t="str">
        <f>IF(A43="","",SUMIFS(Entries!P:P,Entries!E:E,A43,Entries!B:B,$B$1,Entries!D:D,$E$1))</f>
        <v/>
      </c>
      <c r="C43" t="str">
        <f t="shared" si="1"/>
        <v/>
      </c>
      <c r="D43" t="str">
        <f>IF(A43="","",SUMIFS(Entries!P:P,Entries!E:E,A43,Entries!B:B,$B$1,Entries!D:D,$E$1,Entries!I:I,"Customers/Stakeholders"))</f>
        <v/>
      </c>
      <c r="E43" t="str">
        <f>IF(A43="","",SUMIFS(Entries!P:P,Entries!E:E,A43,Entries!B:B,$B$1,Entries!D:D,$E$1,Entries!I:I,"Financial"))</f>
        <v/>
      </c>
      <c r="F43" t="str">
        <f>IF(A43="","",SUMIFS(Entries!P:P,Entries!E:E,A43,Entries!B:B,$B$1,Entries!D:D,$E$1,Entries!I:I,"Internal Business Process"))</f>
        <v/>
      </c>
      <c r="G43" t="str">
        <f>IF(A43="","",SUMIFS(Entries!P:P,Entries!E:E,A43,Entries!B:B,$B$1,Entries!D:D,$E$1,Entries!I:I,"People and Culture"))</f>
        <v/>
      </c>
      <c r="H43" t="str">
        <f>IF(A43="","",SUMIFS(Entries!P:P,Entries!E:E,A43,Entries!B:B,$B$1,Entries!D:D,$E$1,Entries!I:I,"ESG and Sustainability"))</f>
        <v/>
      </c>
      <c r="I43" t="str">
        <f>IF(A43="","",SUMIFS(Entries!P:P,Entries!E:E,A43,Entries!B:B,$B$1,Entries!D:D,$E$1,Entries!I:I,"Learning and Innovation"))</f>
        <v/>
      </c>
    </row>
    <row r="44" spans="2:9" x14ac:dyDescent="0.35">
      <c r="B44" t="str">
        <f>IF(A44="","",SUMIFS(Entries!P:P,Entries!E:E,A44,Entries!B:B,$B$1,Entries!D:D,$E$1))</f>
        <v/>
      </c>
      <c r="C44" t="str">
        <f t="shared" si="1"/>
        <v/>
      </c>
      <c r="D44" t="str">
        <f>IF(A44="","",SUMIFS(Entries!P:P,Entries!E:E,A44,Entries!B:B,$B$1,Entries!D:D,$E$1,Entries!I:I,"Customers/Stakeholders"))</f>
        <v/>
      </c>
      <c r="E44" t="str">
        <f>IF(A44="","",SUMIFS(Entries!P:P,Entries!E:E,A44,Entries!B:B,$B$1,Entries!D:D,$E$1,Entries!I:I,"Financial"))</f>
        <v/>
      </c>
      <c r="F44" t="str">
        <f>IF(A44="","",SUMIFS(Entries!P:P,Entries!E:E,A44,Entries!B:B,$B$1,Entries!D:D,$E$1,Entries!I:I,"Internal Business Process"))</f>
        <v/>
      </c>
      <c r="G44" t="str">
        <f>IF(A44="","",SUMIFS(Entries!P:P,Entries!E:E,A44,Entries!B:B,$B$1,Entries!D:D,$E$1,Entries!I:I,"People and Culture"))</f>
        <v/>
      </c>
      <c r="H44" t="str">
        <f>IF(A44="","",SUMIFS(Entries!P:P,Entries!E:E,A44,Entries!B:B,$B$1,Entries!D:D,$E$1,Entries!I:I,"ESG and Sustainability"))</f>
        <v/>
      </c>
      <c r="I44" t="str">
        <f>IF(A44="","",SUMIFS(Entries!P:P,Entries!E:E,A44,Entries!B:B,$B$1,Entries!D:D,$E$1,Entries!I:I,"Learning and Innovation"))</f>
        <v/>
      </c>
    </row>
    <row r="45" spans="2:9" x14ac:dyDescent="0.35">
      <c r="B45" t="str">
        <f>IF(A45="","",SUMIFS(Entries!P:P,Entries!E:E,A45,Entries!B:B,$B$1,Entries!D:D,$E$1))</f>
        <v/>
      </c>
      <c r="C45" t="str">
        <f t="shared" si="1"/>
        <v/>
      </c>
      <c r="D45" t="str">
        <f>IF(A45="","",SUMIFS(Entries!P:P,Entries!E:E,A45,Entries!B:B,$B$1,Entries!D:D,$E$1,Entries!I:I,"Customers/Stakeholders"))</f>
        <v/>
      </c>
      <c r="E45" t="str">
        <f>IF(A45="","",SUMIFS(Entries!P:P,Entries!E:E,A45,Entries!B:B,$B$1,Entries!D:D,$E$1,Entries!I:I,"Financial"))</f>
        <v/>
      </c>
      <c r="F45" t="str">
        <f>IF(A45="","",SUMIFS(Entries!P:P,Entries!E:E,A45,Entries!B:B,$B$1,Entries!D:D,$E$1,Entries!I:I,"Internal Business Process"))</f>
        <v/>
      </c>
      <c r="G45" t="str">
        <f>IF(A45="","",SUMIFS(Entries!P:P,Entries!E:E,A45,Entries!B:B,$B$1,Entries!D:D,$E$1,Entries!I:I,"People and Culture"))</f>
        <v/>
      </c>
      <c r="H45" t="str">
        <f>IF(A45="","",SUMIFS(Entries!P:P,Entries!E:E,A45,Entries!B:B,$B$1,Entries!D:D,$E$1,Entries!I:I,"ESG and Sustainability"))</f>
        <v/>
      </c>
      <c r="I45" t="str">
        <f>IF(A45="","",SUMIFS(Entries!P:P,Entries!E:E,A45,Entries!B:B,$B$1,Entries!D:D,$E$1,Entries!I:I,"Learning and Innovation"))</f>
        <v/>
      </c>
    </row>
    <row r="46" spans="2:9" x14ac:dyDescent="0.35">
      <c r="B46" t="str">
        <f>IF(A46="","",SUMIFS(Entries!P:P,Entries!E:E,A46,Entries!B:B,$B$1,Entries!D:D,$E$1))</f>
        <v/>
      </c>
      <c r="C46" t="str">
        <f t="shared" si="1"/>
        <v/>
      </c>
      <c r="D46" t="str">
        <f>IF(A46="","",SUMIFS(Entries!P:P,Entries!E:E,A46,Entries!B:B,$B$1,Entries!D:D,$E$1,Entries!I:I,"Customers/Stakeholders"))</f>
        <v/>
      </c>
      <c r="E46" t="str">
        <f>IF(A46="","",SUMIFS(Entries!P:P,Entries!E:E,A46,Entries!B:B,$B$1,Entries!D:D,$E$1,Entries!I:I,"Financial"))</f>
        <v/>
      </c>
      <c r="F46" t="str">
        <f>IF(A46="","",SUMIFS(Entries!P:P,Entries!E:E,A46,Entries!B:B,$B$1,Entries!D:D,$E$1,Entries!I:I,"Internal Business Process"))</f>
        <v/>
      </c>
      <c r="G46" t="str">
        <f>IF(A46="","",SUMIFS(Entries!P:P,Entries!E:E,A46,Entries!B:B,$B$1,Entries!D:D,$E$1,Entries!I:I,"People and Culture"))</f>
        <v/>
      </c>
      <c r="H46" t="str">
        <f>IF(A46="","",SUMIFS(Entries!P:P,Entries!E:E,A46,Entries!B:B,$B$1,Entries!D:D,$E$1,Entries!I:I,"ESG and Sustainability"))</f>
        <v/>
      </c>
      <c r="I46" t="str">
        <f>IF(A46="","",SUMIFS(Entries!P:P,Entries!E:E,A46,Entries!B:B,$B$1,Entries!D:D,$E$1,Entries!I:I,"Learning and Innovation"))</f>
        <v/>
      </c>
    </row>
    <row r="47" spans="2:9" x14ac:dyDescent="0.35">
      <c r="B47" t="str">
        <f>IF(A47="","",SUMIFS(Entries!P:P,Entries!E:E,A47,Entries!B:B,$B$1,Entries!D:D,$E$1))</f>
        <v/>
      </c>
      <c r="C47" t="str">
        <f t="shared" si="1"/>
        <v/>
      </c>
      <c r="D47" t="str">
        <f>IF(A47="","",SUMIFS(Entries!P:P,Entries!E:E,A47,Entries!B:B,$B$1,Entries!D:D,$E$1,Entries!I:I,"Customers/Stakeholders"))</f>
        <v/>
      </c>
      <c r="E47" t="str">
        <f>IF(A47="","",SUMIFS(Entries!P:P,Entries!E:E,A47,Entries!B:B,$B$1,Entries!D:D,$E$1,Entries!I:I,"Financial"))</f>
        <v/>
      </c>
      <c r="F47" t="str">
        <f>IF(A47="","",SUMIFS(Entries!P:P,Entries!E:E,A47,Entries!B:B,$B$1,Entries!D:D,$E$1,Entries!I:I,"Internal Business Process"))</f>
        <v/>
      </c>
      <c r="G47" t="str">
        <f>IF(A47="","",SUMIFS(Entries!P:P,Entries!E:E,A47,Entries!B:B,$B$1,Entries!D:D,$E$1,Entries!I:I,"People and Culture"))</f>
        <v/>
      </c>
      <c r="H47" t="str">
        <f>IF(A47="","",SUMIFS(Entries!P:P,Entries!E:E,A47,Entries!B:B,$B$1,Entries!D:D,$E$1,Entries!I:I,"ESG and Sustainability"))</f>
        <v/>
      </c>
      <c r="I47" t="str">
        <f>IF(A47="","",SUMIFS(Entries!P:P,Entries!E:E,A47,Entries!B:B,$B$1,Entries!D:D,$E$1,Entries!I:I,"Learning and Innovation"))</f>
        <v/>
      </c>
    </row>
    <row r="48" spans="2:9" x14ac:dyDescent="0.35">
      <c r="B48" t="str">
        <f>IF(A48="","",SUMIFS(Entries!P:P,Entries!E:E,A48,Entries!B:B,$B$1,Entries!D:D,$E$1))</f>
        <v/>
      </c>
      <c r="C48" t="str">
        <f t="shared" si="1"/>
        <v/>
      </c>
      <c r="D48" t="str">
        <f>IF(A48="","",SUMIFS(Entries!P:P,Entries!E:E,A48,Entries!B:B,$B$1,Entries!D:D,$E$1,Entries!I:I,"Customers/Stakeholders"))</f>
        <v/>
      </c>
      <c r="E48" t="str">
        <f>IF(A48="","",SUMIFS(Entries!P:P,Entries!E:E,A48,Entries!B:B,$B$1,Entries!D:D,$E$1,Entries!I:I,"Financial"))</f>
        <v/>
      </c>
      <c r="F48" t="str">
        <f>IF(A48="","",SUMIFS(Entries!P:P,Entries!E:E,A48,Entries!B:B,$B$1,Entries!D:D,$E$1,Entries!I:I,"Internal Business Process"))</f>
        <v/>
      </c>
      <c r="G48" t="str">
        <f>IF(A48="","",SUMIFS(Entries!P:P,Entries!E:E,A48,Entries!B:B,$B$1,Entries!D:D,$E$1,Entries!I:I,"People and Culture"))</f>
        <v/>
      </c>
      <c r="H48" t="str">
        <f>IF(A48="","",SUMIFS(Entries!P:P,Entries!E:E,A48,Entries!B:B,$B$1,Entries!D:D,$E$1,Entries!I:I,"ESG and Sustainability"))</f>
        <v/>
      </c>
      <c r="I48" t="str">
        <f>IF(A48="","",SUMIFS(Entries!P:P,Entries!E:E,A48,Entries!B:B,$B$1,Entries!D:D,$E$1,Entries!I:I,"Learning and Innovation"))</f>
        <v/>
      </c>
    </row>
    <row r="49" spans="2:9" x14ac:dyDescent="0.35">
      <c r="B49" t="str">
        <f>IF(A49="","",SUMIFS(Entries!P:P,Entries!E:E,A49,Entries!B:B,$B$1,Entries!D:D,$E$1))</f>
        <v/>
      </c>
      <c r="C49" t="str">
        <f t="shared" si="1"/>
        <v/>
      </c>
      <c r="D49" t="str">
        <f>IF(A49="","",SUMIFS(Entries!P:P,Entries!E:E,A49,Entries!B:B,$B$1,Entries!D:D,$E$1,Entries!I:I,"Customers/Stakeholders"))</f>
        <v/>
      </c>
      <c r="E49" t="str">
        <f>IF(A49="","",SUMIFS(Entries!P:P,Entries!E:E,A49,Entries!B:B,$B$1,Entries!D:D,$E$1,Entries!I:I,"Financial"))</f>
        <v/>
      </c>
      <c r="F49" t="str">
        <f>IF(A49="","",SUMIFS(Entries!P:P,Entries!E:E,A49,Entries!B:B,$B$1,Entries!D:D,$E$1,Entries!I:I,"Internal Business Process"))</f>
        <v/>
      </c>
      <c r="G49" t="str">
        <f>IF(A49="","",SUMIFS(Entries!P:P,Entries!E:E,A49,Entries!B:B,$B$1,Entries!D:D,$E$1,Entries!I:I,"People and Culture"))</f>
        <v/>
      </c>
      <c r="H49" t="str">
        <f>IF(A49="","",SUMIFS(Entries!P:P,Entries!E:E,A49,Entries!B:B,$B$1,Entries!D:D,$E$1,Entries!I:I,"ESG and Sustainability"))</f>
        <v/>
      </c>
      <c r="I49" t="str">
        <f>IF(A49="","",SUMIFS(Entries!P:P,Entries!E:E,A49,Entries!B:B,$B$1,Entries!D:D,$E$1,Entries!I:I,"Learning and Innovation"))</f>
        <v/>
      </c>
    </row>
    <row r="50" spans="2:9" x14ac:dyDescent="0.35">
      <c r="B50" t="str">
        <f>IF(A50="","",SUMIFS(Entries!P:P,Entries!E:E,A50,Entries!B:B,$B$1,Entries!D:D,$E$1))</f>
        <v/>
      </c>
      <c r="C50" t="str">
        <f t="shared" si="1"/>
        <v/>
      </c>
      <c r="D50" t="str">
        <f>IF(A50="","",SUMIFS(Entries!P:P,Entries!E:E,A50,Entries!B:B,$B$1,Entries!D:D,$E$1,Entries!I:I,"Customers/Stakeholders"))</f>
        <v/>
      </c>
      <c r="E50" t="str">
        <f>IF(A50="","",SUMIFS(Entries!P:P,Entries!E:E,A50,Entries!B:B,$B$1,Entries!D:D,$E$1,Entries!I:I,"Financial"))</f>
        <v/>
      </c>
      <c r="F50" t="str">
        <f>IF(A50="","",SUMIFS(Entries!P:P,Entries!E:E,A50,Entries!B:B,$B$1,Entries!D:D,$E$1,Entries!I:I,"Internal Business Process"))</f>
        <v/>
      </c>
      <c r="G50" t="str">
        <f>IF(A50="","",SUMIFS(Entries!P:P,Entries!E:E,A50,Entries!B:B,$B$1,Entries!D:D,$E$1,Entries!I:I,"People and Culture"))</f>
        <v/>
      </c>
      <c r="H50" t="str">
        <f>IF(A50="","",SUMIFS(Entries!P:P,Entries!E:E,A50,Entries!B:B,$B$1,Entries!D:D,$E$1,Entries!I:I,"ESG and Sustainability"))</f>
        <v/>
      </c>
      <c r="I50" t="str">
        <f>IF(A50="","",SUMIFS(Entries!P:P,Entries!E:E,A50,Entries!B:B,$B$1,Entries!D:D,$E$1,Entries!I:I,"Learning and Innovation"))</f>
        <v/>
      </c>
    </row>
    <row r="51" spans="2:9" x14ac:dyDescent="0.35">
      <c r="B51" t="str">
        <f>IF(A51="","",SUMIFS(Entries!P:P,Entries!E:E,A51,Entries!B:B,$B$1,Entries!D:D,$E$1))</f>
        <v/>
      </c>
      <c r="C51" t="str">
        <f t="shared" si="1"/>
        <v/>
      </c>
      <c r="D51" t="str">
        <f>IF(A51="","",SUMIFS(Entries!P:P,Entries!E:E,A51,Entries!B:B,$B$1,Entries!D:D,$E$1,Entries!I:I,"Customers/Stakeholders"))</f>
        <v/>
      </c>
      <c r="E51" t="str">
        <f>IF(A51="","",SUMIFS(Entries!P:P,Entries!E:E,A51,Entries!B:B,$B$1,Entries!D:D,$E$1,Entries!I:I,"Financial"))</f>
        <v/>
      </c>
      <c r="F51" t="str">
        <f>IF(A51="","",SUMIFS(Entries!P:P,Entries!E:E,A51,Entries!B:B,$B$1,Entries!D:D,$E$1,Entries!I:I,"Internal Business Process"))</f>
        <v/>
      </c>
      <c r="G51" t="str">
        <f>IF(A51="","",SUMIFS(Entries!P:P,Entries!E:E,A51,Entries!B:B,$B$1,Entries!D:D,$E$1,Entries!I:I,"People and Culture"))</f>
        <v/>
      </c>
      <c r="H51" t="str">
        <f>IF(A51="","",SUMIFS(Entries!P:P,Entries!E:E,A51,Entries!B:B,$B$1,Entries!D:D,$E$1,Entries!I:I,"ESG and Sustainability"))</f>
        <v/>
      </c>
      <c r="I51" t="str">
        <f>IF(A51="","",SUMIFS(Entries!P:P,Entries!E:E,A51,Entries!B:B,$B$1,Entries!D:D,$E$1,Entries!I:I,"Learning and Innovation"))</f>
        <v/>
      </c>
    </row>
    <row r="52" spans="2:9" x14ac:dyDescent="0.35">
      <c r="B52" t="str">
        <f>IF(A52="","",SUMIFS(Entries!P:P,Entries!E:E,A52,Entries!B:B,$B$1,Entries!D:D,$E$1))</f>
        <v/>
      </c>
      <c r="C52" t="str">
        <f t="shared" si="1"/>
        <v/>
      </c>
      <c r="D52" t="str">
        <f>IF(A52="","",SUMIFS(Entries!P:P,Entries!E:E,A52,Entries!B:B,$B$1,Entries!D:D,$E$1,Entries!I:I,"Customers/Stakeholders"))</f>
        <v/>
      </c>
      <c r="E52" t="str">
        <f>IF(A52="","",SUMIFS(Entries!P:P,Entries!E:E,A52,Entries!B:B,$B$1,Entries!D:D,$E$1,Entries!I:I,"Financial"))</f>
        <v/>
      </c>
      <c r="F52" t="str">
        <f>IF(A52="","",SUMIFS(Entries!P:P,Entries!E:E,A52,Entries!B:B,$B$1,Entries!D:D,$E$1,Entries!I:I,"Internal Business Process"))</f>
        <v/>
      </c>
      <c r="G52" t="str">
        <f>IF(A52="","",SUMIFS(Entries!P:P,Entries!E:E,A52,Entries!B:B,$B$1,Entries!D:D,$E$1,Entries!I:I,"People and Culture"))</f>
        <v/>
      </c>
      <c r="H52" t="str">
        <f>IF(A52="","",SUMIFS(Entries!P:P,Entries!E:E,A52,Entries!B:B,$B$1,Entries!D:D,$E$1,Entries!I:I,"ESG and Sustainability"))</f>
        <v/>
      </c>
      <c r="I52" t="str">
        <f>IF(A52="","",SUMIFS(Entries!P:P,Entries!E:E,A52,Entries!B:B,$B$1,Entries!D:D,$E$1,Entries!I:I,"Learning and Innovation"))</f>
        <v/>
      </c>
    </row>
    <row r="53" spans="2:9" x14ac:dyDescent="0.35">
      <c r="B53" t="str">
        <f>IF(A53="","",SUMIFS(Entries!P:P,Entries!E:E,A53,Entries!B:B,$B$1,Entries!D:D,$E$1))</f>
        <v/>
      </c>
      <c r="C53" t="str">
        <f t="shared" si="1"/>
        <v/>
      </c>
      <c r="D53" t="str">
        <f>IF(A53="","",SUMIFS(Entries!P:P,Entries!E:E,A53,Entries!B:B,$B$1,Entries!D:D,$E$1,Entries!I:I,"Customers/Stakeholders"))</f>
        <v/>
      </c>
      <c r="E53" t="str">
        <f>IF(A53="","",SUMIFS(Entries!P:P,Entries!E:E,A53,Entries!B:B,$B$1,Entries!D:D,$E$1,Entries!I:I,"Financial"))</f>
        <v/>
      </c>
      <c r="F53" t="str">
        <f>IF(A53="","",SUMIFS(Entries!P:P,Entries!E:E,A53,Entries!B:B,$B$1,Entries!D:D,$E$1,Entries!I:I,"Internal Business Process"))</f>
        <v/>
      </c>
      <c r="G53" t="str">
        <f>IF(A53="","",SUMIFS(Entries!P:P,Entries!E:E,A53,Entries!B:B,$B$1,Entries!D:D,$E$1,Entries!I:I,"People and Culture"))</f>
        <v/>
      </c>
      <c r="H53" t="str">
        <f>IF(A53="","",SUMIFS(Entries!P:P,Entries!E:E,A53,Entries!B:B,$B$1,Entries!D:D,$E$1,Entries!I:I,"ESG and Sustainability"))</f>
        <v/>
      </c>
      <c r="I53" t="str">
        <f>IF(A53="","",SUMIFS(Entries!P:P,Entries!E:E,A53,Entries!B:B,$B$1,Entries!D:D,$E$1,Entries!I:I,"Learning and Innovation"))</f>
        <v/>
      </c>
    </row>
    <row r="54" spans="2:9" x14ac:dyDescent="0.35">
      <c r="B54" t="str">
        <f>IF(A54="","",SUMIFS(Entries!P:P,Entries!E:E,A54,Entries!B:B,$B$1,Entries!D:D,$E$1))</f>
        <v/>
      </c>
      <c r="C54" t="str">
        <f t="shared" si="1"/>
        <v/>
      </c>
      <c r="D54" t="str">
        <f>IF(A54="","",SUMIFS(Entries!P:P,Entries!E:E,A54,Entries!B:B,$B$1,Entries!D:D,$E$1,Entries!I:I,"Customers/Stakeholders"))</f>
        <v/>
      </c>
      <c r="E54" t="str">
        <f>IF(A54="","",SUMIFS(Entries!P:P,Entries!E:E,A54,Entries!B:B,$B$1,Entries!D:D,$E$1,Entries!I:I,"Financial"))</f>
        <v/>
      </c>
      <c r="F54" t="str">
        <f>IF(A54="","",SUMIFS(Entries!P:P,Entries!E:E,A54,Entries!B:B,$B$1,Entries!D:D,$E$1,Entries!I:I,"Internal Business Process"))</f>
        <v/>
      </c>
      <c r="G54" t="str">
        <f>IF(A54="","",SUMIFS(Entries!P:P,Entries!E:E,A54,Entries!B:B,$B$1,Entries!D:D,$E$1,Entries!I:I,"People and Culture"))</f>
        <v/>
      </c>
      <c r="H54" t="str">
        <f>IF(A54="","",SUMIFS(Entries!P:P,Entries!E:E,A54,Entries!B:B,$B$1,Entries!D:D,$E$1,Entries!I:I,"ESG and Sustainability"))</f>
        <v/>
      </c>
      <c r="I54" t="str">
        <f>IF(A54="","",SUMIFS(Entries!P:P,Entries!E:E,A54,Entries!B:B,$B$1,Entries!D:D,$E$1,Entries!I:I,"Learning and Innovation"))</f>
        <v/>
      </c>
    </row>
    <row r="55" spans="2:9" x14ac:dyDescent="0.35">
      <c r="B55" t="str">
        <f>IF(A55="","",SUMIFS(Entries!P:P,Entries!E:E,A55,Entries!B:B,$B$1,Entries!D:D,$E$1))</f>
        <v/>
      </c>
      <c r="C55" t="str">
        <f t="shared" si="1"/>
        <v/>
      </c>
      <c r="D55" t="str">
        <f>IF(A55="","",SUMIFS(Entries!P:P,Entries!E:E,A55,Entries!B:B,$B$1,Entries!D:D,$E$1,Entries!I:I,"Customers/Stakeholders"))</f>
        <v/>
      </c>
      <c r="E55" t="str">
        <f>IF(A55="","",SUMIFS(Entries!P:P,Entries!E:E,A55,Entries!B:B,$B$1,Entries!D:D,$E$1,Entries!I:I,"Financial"))</f>
        <v/>
      </c>
      <c r="F55" t="str">
        <f>IF(A55="","",SUMIFS(Entries!P:P,Entries!E:E,A55,Entries!B:B,$B$1,Entries!D:D,$E$1,Entries!I:I,"Internal Business Process"))</f>
        <v/>
      </c>
      <c r="G55" t="str">
        <f>IF(A55="","",SUMIFS(Entries!P:P,Entries!E:E,A55,Entries!B:B,$B$1,Entries!D:D,$E$1,Entries!I:I,"People and Culture"))</f>
        <v/>
      </c>
      <c r="H55" t="str">
        <f>IF(A55="","",SUMIFS(Entries!P:P,Entries!E:E,A55,Entries!B:B,$B$1,Entries!D:D,$E$1,Entries!I:I,"ESG and Sustainability"))</f>
        <v/>
      </c>
      <c r="I55" t="str">
        <f>IF(A55="","",SUMIFS(Entries!P:P,Entries!E:E,A55,Entries!B:B,$B$1,Entries!D:D,$E$1,Entries!I:I,"Learning and Innovation"))</f>
        <v/>
      </c>
    </row>
    <row r="56" spans="2:9" x14ac:dyDescent="0.35">
      <c r="B56" t="str">
        <f>IF(A56="","",SUMIFS(Entries!P:P,Entries!E:E,A56,Entries!B:B,$B$1,Entries!D:D,$E$1))</f>
        <v/>
      </c>
      <c r="C56" t="str">
        <f t="shared" si="1"/>
        <v/>
      </c>
      <c r="D56" t="str">
        <f>IF(A56="","",SUMIFS(Entries!P:P,Entries!E:E,A56,Entries!B:B,$B$1,Entries!D:D,$E$1,Entries!I:I,"Customers/Stakeholders"))</f>
        <v/>
      </c>
      <c r="E56" t="str">
        <f>IF(A56="","",SUMIFS(Entries!P:P,Entries!E:E,A56,Entries!B:B,$B$1,Entries!D:D,$E$1,Entries!I:I,"Financial"))</f>
        <v/>
      </c>
      <c r="F56" t="str">
        <f>IF(A56="","",SUMIFS(Entries!P:P,Entries!E:E,A56,Entries!B:B,$B$1,Entries!D:D,$E$1,Entries!I:I,"Internal Business Process"))</f>
        <v/>
      </c>
      <c r="G56" t="str">
        <f>IF(A56="","",SUMIFS(Entries!P:P,Entries!E:E,A56,Entries!B:B,$B$1,Entries!D:D,$E$1,Entries!I:I,"People and Culture"))</f>
        <v/>
      </c>
      <c r="H56" t="str">
        <f>IF(A56="","",SUMIFS(Entries!P:P,Entries!E:E,A56,Entries!B:B,$B$1,Entries!D:D,$E$1,Entries!I:I,"ESG and Sustainability"))</f>
        <v/>
      </c>
      <c r="I56" t="str">
        <f>IF(A56="","",SUMIFS(Entries!P:P,Entries!E:E,A56,Entries!B:B,$B$1,Entries!D:D,$E$1,Entries!I:I,"Learning and Innovation"))</f>
        <v/>
      </c>
    </row>
    <row r="57" spans="2:9" x14ac:dyDescent="0.35">
      <c r="B57" t="str">
        <f>IF(A57="","",SUMIFS(Entries!P:P,Entries!E:E,A57,Entries!B:B,$B$1,Entries!D:D,$E$1))</f>
        <v/>
      </c>
      <c r="C57" t="str">
        <f t="shared" si="1"/>
        <v/>
      </c>
      <c r="D57" t="str">
        <f>IF(A57="","",SUMIFS(Entries!P:P,Entries!E:E,A57,Entries!B:B,$B$1,Entries!D:D,$E$1,Entries!I:I,"Customers/Stakeholders"))</f>
        <v/>
      </c>
      <c r="E57" t="str">
        <f>IF(A57="","",SUMIFS(Entries!P:P,Entries!E:E,A57,Entries!B:B,$B$1,Entries!D:D,$E$1,Entries!I:I,"Financial"))</f>
        <v/>
      </c>
      <c r="F57" t="str">
        <f>IF(A57="","",SUMIFS(Entries!P:P,Entries!E:E,A57,Entries!B:B,$B$1,Entries!D:D,$E$1,Entries!I:I,"Internal Business Process"))</f>
        <v/>
      </c>
      <c r="G57" t="str">
        <f>IF(A57="","",SUMIFS(Entries!P:P,Entries!E:E,A57,Entries!B:B,$B$1,Entries!D:D,$E$1,Entries!I:I,"People and Culture"))</f>
        <v/>
      </c>
      <c r="H57" t="str">
        <f>IF(A57="","",SUMIFS(Entries!P:P,Entries!E:E,A57,Entries!B:B,$B$1,Entries!D:D,$E$1,Entries!I:I,"ESG and Sustainability"))</f>
        <v/>
      </c>
      <c r="I57" t="str">
        <f>IF(A57="","",SUMIFS(Entries!P:P,Entries!E:E,A57,Entries!B:B,$B$1,Entries!D:D,$E$1,Entries!I:I,"Learning and Innovation"))</f>
        <v/>
      </c>
    </row>
    <row r="58" spans="2:9" x14ac:dyDescent="0.35">
      <c r="B58" t="str">
        <f>IF(A58="","",SUMIFS(Entries!P:P,Entries!E:E,A58,Entries!B:B,$B$1,Entries!D:D,$E$1))</f>
        <v/>
      </c>
      <c r="C58" t="str">
        <f t="shared" si="1"/>
        <v/>
      </c>
      <c r="D58" t="str">
        <f>IF(A58="","",SUMIFS(Entries!P:P,Entries!E:E,A58,Entries!B:B,$B$1,Entries!D:D,$E$1,Entries!I:I,"Customers/Stakeholders"))</f>
        <v/>
      </c>
      <c r="E58" t="str">
        <f>IF(A58="","",SUMIFS(Entries!P:P,Entries!E:E,A58,Entries!B:B,$B$1,Entries!D:D,$E$1,Entries!I:I,"Financial"))</f>
        <v/>
      </c>
      <c r="F58" t="str">
        <f>IF(A58="","",SUMIFS(Entries!P:P,Entries!E:E,A58,Entries!B:B,$B$1,Entries!D:D,$E$1,Entries!I:I,"Internal Business Process"))</f>
        <v/>
      </c>
      <c r="G58" t="str">
        <f>IF(A58="","",SUMIFS(Entries!P:P,Entries!E:E,A58,Entries!B:B,$B$1,Entries!D:D,$E$1,Entries!I:I,"People and Culture"))</f>
        <v/>
      </c>
      <c r="H58" t="str">
        <f>IF(A58="","",SUMIFS(Entries!P:P,Entries!E:E,A58,Entries!B:B,$B$1,Entries!D:D,$E$1,Entries!I:I,"ESG and Sustainability"))</f>
        <v/>
      </c>
      <c r="I58" t="str">
        <f>IF(A58="","",SUMIFS(Entries!P:P,Entries!E:E,A58,Entries!B:B,$B$1,Entries!D:D,$E$1,Entries!I:I,"Learning and Innovation"))</f>
        <v/>
      </c>
    </row>
    <row r="59" spans="2:9" x14ac:dyDescent="0.35">
      <c r="B59" t="str">
        <f>IF(A59="","",SUMIFS(Entries!P:P,Entries!E:E,A59,Entries!B:B,$B$1,Entries!D:D,$E$1))</f>
        <v/>
      </c>
      <c r="C59" t="str">
        <f t="shared" si="1"/>
        <v/>
      </c>
      <c r="D59" t="str">
        <f>IF(A59="","",SUMIFS(Entries!P:P,Entries!E:E,A59,Entries!B:B,$B$1,Entries!D:D,$E$1,Entries!I:I,"Customers/Stakeholders"))</f>
        <v/>
      </c>
      <c r="E59" t="str">
        <f>IF(A59="","",SUMIFS(Entries!P:P,Entries!E:E,A59,Entries!B:B,$B$1,Entries!D:D,$E$1,Entries!I:I,"Financial"))</f>
        <v/>
      </c>
      <c r="F59" t="str">
        <f>IF(A59="","",SUMIFS(Entries!P:P,Entries!E:E,A59,Entries!B:B,$B$1,Entries!D:D,$E$1,Entries!I:I,"Internal Business Process"))</f>
        <v/>
      </c>
      <c r="G59" t="str">
        <f>IF(A59="","",SUMIFS(Entries!P:P,Entries!E:E,A59,Entries!B:B,$B$1,Entries!D:D,$E$1,Entries!I:I,"People and Culture"))</f>
        <v/>
      </c>
      <c r="H59" t="str">
        <f>IF(A59="","",SUMIFS(Entries!P:P,Entries!E:E,A59,Entries!B:B,$B$1,Entries!D:D,$E$1,Entries!I:I,"ESG and Sustainability"))</f>
        <v/>
      </c>
      <c r="I59" t="str">
        <f>IF(A59="","",SUMIFS(Entries!P:P,Entries!E:E,A59,Entries!B:B,$B$1,Entries!D:D,$E$1,Entries!I:I,"Learning and Innovation"))</f>
        <v/>
      </c>
    </row>
    <row r="60" spans="2:9" x14ac:dyDescent="0.35">
      <c r="B60" t="str">
        <f>IF(A60="","",SUMIFS(Entries!P:P,Entries!E:E,A60,Entries!B:B,$B$1,Entries!D:D,$E$1))</f>
        <v/>
      </c>
      <c r="C60" t="str">
        <f t="shared" si="1"/>
        <v/>
      </c>
      <c r="D60" t="str">
        <f>IF(A60="","",SUMIFS(Entries!P:P,Entries!E:E,A60,Entries!B:B,$B$1,Entries!D:D,$E$1,Entries!I:I,"Customers/Stakeholders"))</f>
        <v/>
      </c>
      <c r="E60" t="str">
        <f>IF(A60="","",SUMIFS(Entries!P:P,Entries!E:E,A60,Entries!B:B,$B$1,Entries!D:D,$E$1,Entries!I:I,"Financial"))</f>
        <v/>
      </c>
      <c r="F60" t="str">
        <f>IF(A60="","",SUMIFS(Entries!P:P,Entries!E:E,A60,Entries!B:B,$B$1,Entries!D:D,$E$1,Entries!I:I,"Internal Business Process"))</f>
        <v/>
      </c>
      <c r="G60" t="str">
        <f>IF(A60="","",SUMIFS(Entries!P:P,Entries!E:E,A60,Entries!B:B,$B$1,Entries!D:D,$E$1,Entries!I:I,"People and Culture"))</f>
        <v/>
      </c>
      <c r="H60" t="str">
        <f>IF(A60="","",SUMIFS(Entries!P:P,Entries!E:E,A60,Entries!B:B,$B$1,Entries!D:D,$E$1,Entries!I:I,"ESG and Sustainability"))</f>
        <v/>
      </c>
      <c r="I60" t="str">
        <f>IF(A60="","",SUMIFS(Entries!P:P,Entries!E:E,A60,Entries!B:B,$B$1,Entries!D:D,$E$1,Entries!I:I,"Learning and Innovation"))</f>
        <v/>
      </c>
    </row>
    <row r="61" spans="2:9" x14ac:dyDescent="0.35">
      <c r="B61" t="str">
        <f>IF(A61="","",SUMIFS(Entries!P:P,Entries!E:E,A61,Entries!B:B,$B$1,Entries!D:D,$E$1))</f>
        <v/>
      </c>
      <c r="C61" t="str">
        <f t="shared" si="1"/>
        <v/>
      </c>
      <c r="D61" t="str">
        <f>IF(A61="","",SUMIFS(Entries!P:P,Entries!E:E,A61,Entries!B:B,$B$1,Entries!D:D,$E$1,Entries!I:I,"Customers/Stakeholders"))</f>
        <v/>
      </c>
      <c r="E61" t="str">
        <f>IF(A61="","",SUMIFS(Entries!P:P,Entries!E:E,A61,Entries!B:B,$B$1,Entries!D:D,$E$1,Entries!I:I,"Financial"))</f>
        <v/>
      </c>
      <c r="F61" t="str">
        <f>IF(A61="","",SUMIFS(Entries!P:P,Entries!E:E,A61,Entries!B:B,$B$1,Entries!D:D,$E$1,Entries!I:I,"Internal Business Process"))</f>
        <v/>
      </c>
      <c r="G61" t="str">
        <f>IF(A61="","",SUMIFS(Entries!P:P,Entries!E:E,A61,Entries!B:B,$B$1,Entries!D:D,$E$1,Entries!I:I,"People and Culture"))</f>
        <v/>
      </c>
      <c r="H61" t="str">
        <f>IF(A61="","",SUMIFS(Entries!P:P,Entries!E:E,A61,Entries!B:B,$B$1,Entries!D:D,$E$1,Entries!I:I,"ESG and Sustainability"))</f>
        <v/>
      </c>
      <c r="I61" t="str">
        <f>IF(A61="","",SUMIFS(Entries!P:P,Entries!E:E,A61,Entries!B:B,$B$1,Entries!D:D,$E$1,Entries!I:I,"Learning and Innovation"))</f>
        <v/>
      </c>
    </row>
    <row r="62" spans="2:9" x14ac:dyDescent="0.35">
      <c r="B62" t="str">
        <f>IF(A62="","",SUMIFS(Entries!P:P,Entries!E:E,A62,Entries!B:B,$B$1,Entries!D:D,$E$1))</f>
        <v/>
      </c>
      <c r="C62" t="str">
        <f t="shared" si="1"/>
        <v/>
      </c>
      <c r="D62" t="str">
        <f>IF(A62="","",SUMIFS(Entries!P:P,Entries!E:E,A62,Entries!B:B,$B$1,Entries!D:D,$E$1,Entries!I:I,"Customers/Stakeholders"))</f>
        <v/>
      </c>
      <c r="E62" t="str">
        <f>IF(A62="","",SUMIFS(Entries!P:P,Entries!E:E,A62,Entries!B:B,$B$1,Entries!D:D,$E$1,Entries!I:I,"Financial"))</f>
        <v/>
      </c>
      <c r="F62" t="str">
        <f>IF(A62="","",SUMIFS(Entries!P:P,Entries!E:E,A62,Entries!B:B,$B$1,Entries!D:D,$E$1,Entries!I:I,"Internal Business Process"))</f>
        <v/>
      </c>
      <c r="G62" t="str">
        <f>IF(A62="","",SUMIFS(Entries!P:P,Entries!E:E,A62,Entries!B:B,$B$1,Entries!D:D,$E$1,Entries!I:I,"People and Culture"))</f>
        <v/>
      </c>
      <c r="H62" t="str">
        <f>IF(A62="","",SUMIFS(Entries!P:P,Entries!E:E,A62,Entries!B:B,$B$1,Entries!D:D,$E$1,Entries!I:I,"ESG and Sustainability"))</f>
        <v/>
      </c>
      <c r="I62" t="str">
        <f>IF(A62="","",SUMIFS(Entries!P:P,Entries!E:E,A62,Entries!B:B,$B$1,Entries!D:D,$E$1,Entries!I:I,"Learning and Innovation"))</f>
        <v/>
      </c>
    </row>
    <row r="63" spans="2:9" x14ac:dyDescent="0.35">
      <c r="B63" t="str">
        <f>IF(A63="","",SUMIFS(Entries!P:P,Entries!E:E,A63,Entries!B:B,$B$1,Entries!D:D,$E$1))</f>
        <v/>
      </c>
      <c r="C63" t="str">
        <f t="shared" si="1"/>
        <v/>
      </c>
      <c r="D63" t="str">
        <f>IF(A63="","",SUMIFS(Entries!P:P,Entries!E:E,A63,Entries!B:B,$B$1,Entries!D:D,$E$1,Entries!I:I,"Customers/Stakeholders"))</f>
        <v/>
      </c>
      <c r="E63" t="str">
        <f>IF(A63="","",SUMIFS(Entries!P:P,Entries!E:E,A63,Entries!B:B,$B$1,Entries!D:D,$E$1,Entries!I:I,"Financial"))</f>
        <v/>
      </c>
      <c r="F63" t="str">
        <f>IF(A63="","",SUMIFS(Entries!P:P,Entries!E:E,A63,Entries!B:B,$B$1,Entries!D:D,$E$1,Entries!I:I,"Internal Business Process"))</f>
        <v/>
      </c>
      <c r="G63" t="str">
        <f>IF(A63="","",SUMIFS(Entries!P:P,Entries!E:E,A63,Entries!B:B,$B$1,Entries!D:D,$E$1,Entries!I:I,"People and Culture"))</f>
        <v/>
      </c>
      <c r="H63" t="str">
        <f>IF(A63="","",SUMIFS(Entries!P:P,Entries!E:E,A63,Entries!B:B,$B$1,Entries!D:D,$E$1,Entries!I:I,"ESG and Sustainability"))</f>
        <v/>
      </c>
      <c r="I63" t="str">
        <f>IF(A63="","",SUMIFS(Entries!P:P,Entries!E:E,A63,Entries!B:B,$B$1,Entries!D:D,$E$1,Entries!I:I,"Learning and Innovation"))</f>
        <v/>
      </c>
    </row>
    <row r="64" spans="2:9" x14ac:dyDescent="0.35">
      <c r="B64" t="str">
        <f>IF(A64="","",SUMIFS(Entries!P:P,Entries!E:E,A64,Entries!B:B,$B$1,Entries!D:D,$E$1))</f>
        <v/>
      </c>
      <c r="C64" t="str">
        <f t="shared" si="1"/>
        <v/>
      </c>
      <c r="D64" t="str">
        <f>IF(A64="","",SUMIFS(Entries!P:P,Entries!E:E,A64,Entries!B:B,$B$1,Entries!D:D,$E$1,Entries!I:I,"Customers/Stakeholders"))</f>
        <v/>
      </c>
      <c r="E64" t="str">
        <f>IF(A64="","",SUMIFS(Entries!P:P,Entries!E:E,A64,Entries!B:B,$B$1,Entries!D:D,$E$1,Entries!I:I,"Financial"))</f>
        <v/>
      </c>
      <c r="F64" t="str">
        <f>IF(A64="","",SUMIFS(Entries!P:P,Entries!E:E,A64,Entries!B:B,$B$1,Entries!D:D,$E$1,Entries!I:I,"Internal Business Process"))</f>
        <v/>
      </c>
      <c r="G64" t="str">
        <f>IF(A64="","",SUMIFS(Entries!P:P,Entries!E:E,A64,Entries!B:B,$B$1,Entries!D:D,$E$1,Entries!I:I,"People and Culture"))</f>
        <v/>
      </c>
      <c r="H64" t="str">
        <f>IF(A64="","",SUMIFS(Entries!P:P,Entries!E:E,A64,Entries!B:B,$B$1,Entries!D:D,$E$1,Entries!I:I,"ESG and Sustainability"))</f>
        <v/>
      </c>
      <c r="I64" t="str">
        <f>IF(A64="","",SUMIFS(Entries!P:P,Entries!E:E,A64,Entries!B:B,$B$1,Entries!D:D,$E$1,Entries!I:I,"Learning and Innovation"))</f>
        <v/>
      </c>
    </row>
    <row r="65" spans="2:9" x14ac:dyDescent="0.35">
      <c r="B65" t="str">
        <f>IF(A65="","",SUMIFS(Entries!P:P,Entries!E:E,A65,Entries!B:B,$B$1,Entries!D:D,$E$1))</f>
        <v/>
      </c>
      <c r="C65" t="str">
        <f t="shared" si="1"/>
        <v/>
      </c>
      <c r="D65" t="str">
        <f>IF(A65="","",SUMIFS(Entries!P:P,Entries!E:E,A65,Entries!B:B,$B$1,Entries!D:D,$E$1,Entries!I:I,"Customers/Stakeholders"))</f>
        <v/>
      </c>
      <c r="E65" t="str">
        <f>IF(A65="","",SUMIFS(Entries!P:P,Entries!E:E,A65,Entries!B:B,$B$1,Entries!D:D,$E$1,Entries!I:I,"Financial"))</f>
        <v/>
      </c>
      <c r="F65" t="str">
        <f>IF(A65="","",SUMIFS(Entries!P:P,Entries!E:E,A65,Entries!B:B,$B$1,Entries!D:D,$E$1,Entries!I:I,"Internal Business Process"))</f>
        <v/>
      </c>
      <c r="G65" t="str">
        <f>IF(A65="","",SUMIFS(Entries!P:P,Entries!E:E,A65,Entries!B:B,$B$1,Entries!D:D,$E$1,Entries!I:I,"People and Culture"))</f>
        <v/>
      </c>
      <c r="H65" t="str">
        <f>IF(A65="","",SUMIFS(Entries!P:P,Entries!E:E,A65,Entries!B:B,$B$1,Entries!D:D,$E$1,Entries!I:I,"ESG and Sustainability"))</f>
        <v/>
      </c>
      <c r="I65" t="str">
        <f>IF(A65="","",SUMIFS(Entries!P:P,Entries!E:E,A65,Entries!B:B,$B$1,Entries!D:D,$E$1,Entries!I:I,"Learning and Innovation"))</f>
        <v/>
      </c>
    </row>
    <row r="66" spans="2:9" x14ac:dyDescent="0.35">
      <c r="B66" t="str">
        <f>IF(A66="","",SUMIFS(Entries!P:P,Entries!E:E,A66,Entries!B:B,$B$1,Entries!D:D,$E$1))</f>
        <v/>
      </c>
      <c r="C66" t="str">
        <f t="shared" si="1"/>
        <v/>
      </c>
      <c r="D66" t="str">
        <f>IF(A66="","",SUMIFS(Entries!P:P,Entries!E:E,A66,Entries!B:B,$B$1,Entries!D:D,$E$1,Entries!I:I,"Customers/Stakeholders"))</f>
        <v/>
      </c>
      <c r="E66" t="str">
        <f>IF(A66="","",SUMIFS(Entries!P:P,Entries!E:E,A66,Entries!B:B,$B$1,Entries!D:D,$E$1,Entries!I:I,"Financial"))</f>
        <v/>
      </c>
      <c r="F66" t="str">
        <f>IF(A66="","",SUMIFS(Entries!P:P,Entries!E:E,A66,Entries!B:B,$B$1,Entries!D:D,$E$1,Entries!I:I,"Internal Business Process"))</f>
        <v/>
      </c>
      <c r="G66" t="str">
        <f>IF(A66="","",SUMIFS(Entries!P:P,Entries!E:E,A66,Entries!B:B,$B$1,Entries!D:D,$E$1,Entries!I:I,"People and Culture"))</f>
        <v/>
      </c>
      <c r="H66" t="str">
        <f>IF(A66="","",SUMIFS(Entries!P:P,Entries!E:E,A66,Entries!B:B,$B$1,Entries!D:D,$E$1,Entries!I:I,"ESG and Sustainability"))</f>
        <v/>
      </c>
      <c r="I66" t="str">
        <f>IF(A66="","",SUMIFS(Entries!P:P,Entries!E:E,A66,Entries!B:B,$B$1,Entries!D:D,$E$1,Entries!I:I,"Learning and Innovation"))</f>
        <v/>
      </c>
    </row>
    <row r="67" spans="2:9" x14ac:dyDescent="0.35">
      <c r="B67" t="str">
        <f>IF(A67="","",SUMIFS(Entries!P:P,Entries!E:E,A67,Entries!B:B,$B$1,Entries!D:D,$E$1))</f>
        <v/>
      </c>
      <c r="C67" t="str">
        <f t="shared" ref="C67:C98" si="2">IF(B67="","",IF(B67&gt;=4,"Green",IF(B67&gt;=3,"Amber","Red")))</f>
        <v/>
      </c>
      <c r="D67" t="str">
        <f>IF(A67="","",SUMIFS(Entries!P:P,Entries!E:E,A67,Entries!B:B,$B$1,Entries!D:D,$E$1,Entries!I:I,"Customers/Stakeholders"))</f>
        <v/>
      </c>
      <c r="E67" t="str">
        <f>IF(A67="","",SUMIFS(Entries!P:P,Entries!E:E,A67,Entries!B:B,$B$1,Entries!D:D,$E$1,Entries!I:I,"Financial"))</f>
        <v/>
      </c>
      <c r="F67" t="str">
        <f>IF(A67="","",SUMIFS(Entries!P:P,Entries!E:E,A67,Entries!B:B,$B$1,Entries!D:D,$E$1,Entries!I:I,"Internal Business Process"))</f>
        <v/>
      </c>
      <c r="G67" t="str">
        <f>IF(A67="","",SUMIFS(Entries!P:P,Entries!E:E,A67,Entries!B:B,$B$1,Entries!D:D,$E$1,Entries!I:I,"People and Culture"))</f>
        <v/>
      </c>
      <c r="H67" t="str">
        <f>IF(A67="","",SUMIFS(Entries!P:P,Entries!E:E,A67,Entries!B:B,$B$1,Entries!D:D,$E$1,Entries!I:I,"ESG and Sustainability"))</f>
        <v/>
      </c>
      <c r="I67" t="str">
        <f>IF(A67="","",SUMIFS(Entries!P:P,Entries!E:E,A67,Entries!B:B,$B$1,Entries!D:D,$E$1,Entries!I:I,"Learning and Innovation"))</f>
        <v/>
      </c>
    </row>
    <row r="68" spans="2:9" x14ac:dyDescent="0.35">
      <c r="B68" t="str">
        <f>IF(A68="","",SUMIFS(Entries!P:P,Entries!E:E,A68,Entries!B:B,$B$1,Entries!D:D,$E$1))</f>
        <v/>
      </c>
      <c r="C68" t="str">
        <f t="shared" si="2"/>
        <v/>
      </c>
      <c r="D68" t="str">
        <f>IF(A68="","",SUMIFS(Entries!P:P,Entries!E:E,A68,Entries!B:B,$B$1,Entries!D:D,$E$1,Entries!I:I,"Customers/Stakeholders"))</f>
        <v/>
      </c>
      <c r="E68" t="str">
        <f>IF(A68="","",SUMIFS(Entries!P:P,Entries!E:E,A68,Entries!B:B,$B$1,Entries!D:D,$E$1,Entries!I:I,"Financial"))</f>
        <v/>
      </c>
      <c r="F68" t="str">
        <f>IF(A68="","",SUMIFS(Entries!P:P,Entries!E:E,A68,Entries!B:B,$B$1,Entries!D:D,$E$1,Entries!I:I,"Internal Business Process"))</f>
        <v/>
      </c>
      <c r="G68" t="str">
        <f>IF(A68="","",SUMIFS(Entries!P:P,Entries!E:E,A68,Entries!B:B,$B$1,Entries!D:D,$E$1,Entries!I:I,"People and Culture"))</f>
        <v/>
      </c>
      <c r="H68" t="str">
        <f>IF(A68="","",SUMIFS(Entries!P:P,Entries!E:E,A68,Entries!B:B,$B$1,Entries!D:D,$E$1,Entries!I:I,"ESG and Sustainability"))</f>
        <v/>
      </c>
      <c r="I68" t="str">
        <f>IF(A68="","",SUMIFS(Entries!P:P,Entries!E:E,A68,Entries!B:B,$B$1,Entries!D:D,$E$1,Entries!I:I,"Learning and Innovation"))</f>
        <v/>
      </c>
    </row>
    <row r="69" spans="2:9" x14ac:dyDescent="0.35">
      <c r="B69" t="str">
        <f>IF(A69="","",SUMIFS(Entries!P:P,Entries!E:E,A69,Entries!B:B,$B$1,Entries!D:D,$E$1))</f>
        <v/>
      </c>
      <c r="C69" t="str">
        <f t="shared" si="2"/>
        <v/>
      </c>
      <c r="D69" t="str">
        <f>IF(A69="","",SUMIFS(Entries!P:P,Entries!E:E,A69,Entries!B:B,$B$1,Entries!D:D,$E$1,Entries!I:I,"Customers/Stakeholders"))</f>
        <v/>
      </c>
      <c r="E69" t="str">
        <f>IF(A69="","",SUMIFS(Entries!P:P,Entries!E:E,A69,Entries!B:B,$B$1,Entries!D:D,$E$1,Entries!I:I,"Financial"))</f>
        <v/>
      </c>
      <c r="F69" t="str">
        <f>IF(A69="","",SUMIFS(Entries!P:P,Entries!E:E,A69,Entries!B:B,$B$1,Entries!D:D,$E$1,Entries!I:I,"Internal Business Process"))</f>
        <v/>
      </c>
      <c r="G69" t="str">
        <f>IF(A69="","",SUMIFS(Entries!P:P,Entries!E:E,A69,Entries!B:B,$B$1,Entries!D:D,$E$1,Entries!I:I,"People and Culture"))</f>
        <v/>
      </c>
      <c r="H69" t="str">
        <f>IF(A69="","",SUMIFS(Entries!P:P,Entries!E:E,A69,Entries!B:B,$B$1,Entries!D:D,$E$1,Entries!I:I,"ESG and Sustainability"))</f>
        <v/>
      </c>
      <c r="I69" t="str">
        <f>IF(A69="","",SUMIFS(Entries!P:P,Entries!E:E,A69,Entries!B:B,$B$1,Entries!D:D,$E$1,Entries!I:I,"Learning and Innovation"))</f>
        <v/>
      </c>
    </row>
    <row r="70" spans="2:9" x14ac:dyDescent="0.35">
      <c r="B70" t="str">
        <f>IF(A70="","",SUMIFS(Entries!P:P,Entries!E:E,A70,Entries!B:B,$B$1,Entries!D:D,$E$1))</f>
        <v/>
      </c>
      <c r="C70" t="str">
        <f t="shared" si="2"/>
        <v/>
      </c>
      <c r="D70" t="str">
        <f>IF(A70="","",SUMIFS(Entries!P:P,Entries!E:E,A70,Entries!B:B,$B$1,Entries!D:D,$E$1,Entries!I:I,"Customers/Stakeholders"))</f>
        <v/>
      </c>
      <c r="E70" t="str">
        <f>IF(A70="","",SUMIFS(Entries!P:P,Entries!E:E,A70,Entries!B:B,$B$1,Entries!D:D,$E$1,Entries!I:I,"Financial"))</f>
        <v/>
      </c>
      <c r="F70" t="str">
        <f>IF(A70="","",SUMIFS(Entries!P:P,Entries!E:E,A70,Entries!B:B,$B$1,Entries!D:D,$E$1,Entries!I:I,"Internal Business Process"))</f>
        <v/>
      </c>
      <c r="G70" t="str">
        <f>IF(A70="","",SUMIFS(Entries!P:P,Entries!E:E,A70,Entries!B:B,$B$1,Entries!D:D,$E$1,Entries!I:I,"People and Culture"))</f>
        <v/>
      </c>
      <c r="H70" t="str">
        <f>IF(A70="","",SUMIFS(Entries!P:P,Entries!E:E,A70,Entries!B:B,$B$1,Entries!D:D,$E$1,Entries!I:I,"ESG and Sustainability"))</f>
        <v/>
      </c>
      <c r="I70" t="str">
        <f>IF(A70="","",SUMIFS(Entries!P:P,Entries!E:E,A70,Entries!B:B,$B$1,Entries!D:D,$E$1,Entries!I:I,"Learning and Innovation"))</f>
        <v/>
      </c>
    </row>
    <row r="71" spans="2:9" x14ac:dyDescent="0.35">
      <c r="B71" t="str">
        <f>IF(A71="","",SUMIFS(Entries!P:P,Entries!E:E,A71,Entries!B:B,$B$1,Entries!D:D,$E$1))</f>
        <v/>
      </c>
      <c r="C71" t="str">
        <f t="shared" si="2"/>
        <v/>
      </c>
      <c r="D71" t="str">
        <f>IF(A71="","",SUMIFS(Entries!P:P,Entries!E:E,A71,Entries!B:B,$B$1,Entries!D:D,$E$1,Entries!I:I,"Customers/Stakeholders"))</f>
        <v/>
      </c>
      <c r="E71" t="str">
        <f>IF(A71="","",SUMIFS(Entries!P:P,Entries!E:E,A71,Entries!B:B,$B$1,Entries!D:D,$E$1,Entries!I:I,"Financial"))</f>
        <v/>
      </c>
      <c r="F71" t="str">
        <f>IF(A71="","",SUMIFS(Entries!P:P,Entries!E:E,A71,Entries!B:B,$B$1,Entries!D:D,$E$1,Entries!I:I,"Internal Business Process"))</f>
        <v/>
      </c>
      <c r="G71" t="str">
        <f>IF(A71="","",SUMIFS(Entries!P:P,Entries!E:E,A71,Entries!B:B,$B$1,Entries!D:D,$E$1,Entries!I:I,"People and Culture"))</f>
        <v/>
      </c>
      <c r="H71" t="str">
        <f>IF(A71="","",SUMIFS(Entries!P:P,Entries!E:E,A71,Entries!B:B,$B$1,Entries!D:D,$E$1,Entries!I:I,"ESG and Sustainability"))</f>
        <v/>
      </c>
      <c r="I71" t="str">
        <f>IF(A71="","",SUMIFS(Entries!P:P,Entries!E:E,A71,Entries!B:B,$B$1,Entries!D:D,$E$1,Entries!I:I,"Learning and Innovation"))</f>
        <v/>
      </c>
    </row>
    <row r="72" spans="2:9" x14ac:dyDescent="0.35">
      <c r="B72" t="str">
        <f>IF(A72="","",SUMIFS(Entries!P:P,Entries!E:E,A72,Entries!B:B,$B$1,Entries!D:D,$E$1))</f>
        <v/>
      </c>
      <c r="C72" t="str">
        <f t="shared" si="2"/>
        <v/>
      </c>
      <c r="D72" t="str">
        <f>IF(A72="","",SUMIFS(Entries!P:P,Entries!E:E,A72,Entries!B:B,$B$1,Entries!D:D,$E$1,Entries!I:I,"Customers/Stakeholders"))</f>
        <v/>
      </c>
      <c r="E72" t="str">
        <f>IF(A72="","",SUMIFS(Entries!P:P,Entries!E:E,A72,Entries!B:B,$B$1,Entries!D:D,$E$1,Entries!I:I,"Financial"))</f>
        <v/>
      </c>
      <c r="F72" t="str">
        <f>IF(A72="","",SUMIFS(Entries!P:P,Entries!E:E,A72,Entries!B:B,$B$1,Entries!D:D,$E$1,Entries!I:I,"Internal Business Process"))</f>
        <v/>
      </c>
      <c r="G72" t="str">
        <f>IF(A72="","",SUMIFS(Entries!P:P,Entries!E:E,A72,Entries!B:B,$B$1,Entries!D:D,$E$1,Entries!I:I,"People and Culture"))</f>
        <v/>
      </c>
      <c r="H72" t="str">
        <f>IF(A72="","",SUMIFS(Entries!P:P,Entries!E:E,A72,Entries!B:B,$B$1,Entries!D:D,$E$1,Entries!I:I,"ESG and Sustainability"))</f>
        <v/>
      </c>
      <c r="I72" t="str">
        <f>IF(A72="","",SUMIFS(Entries!P:P,Entries!E:E,A72,Entries!B:B,$B$1,Entries!D:D,$E$1,Entries!I:I,"Learning and Innovation"))</f>
        <v/>
      </c>
    </row>
    <row r="73" spans="2:9" x14ac:dyDescent="0.35">
      <c r="B73" t="str">
        <f>IF(A73="","",SUMIFS(Entries!P:P,Entries!E:E,A73,Entries!B:B,$B$1,Entries!D:D,$E$1))</f>
        <v/>
      </c>
      <c r="C73" t="str">
        <f t="shared" si="2"/>
        <v/>
      </c>
      <c r="D73" t="str">
        <f>IF(A73="","",SUMIFS(Entries!P:P,Entries!E:E,A73,Entries!B:B,$B$1,Entries!D:D,$E$1,Entries!I:I,"Customers/Stakeholders"))</f>
        <v/>
      </c>
      <c r="E73" t="str">
        <f>IF(A73="","",SUMIFS(Entries!P:P,Entries!E:E,A73,Entries!B:B,$B$1,Entries!D:D,$E$1,Entries!I:I,"Financial"))</f>
        <v/>
      </c>
      <c r="F73" t="str">
        <f>IF(A73="","",SUMIFS(Entries!P:P,Entries!E:E,A73,Entries!B:B,$B$1,Entries!D:D,$E$1,Entries!I:I,"Internal Business Process"))</f>
        <v/>
      </c>
      <c r="G73" t="str">
        <f>IF(A73="","",SUMIFS(Entries!P:P,Entries!E:E,A73,Entries!B:B,$B$1,Entries!D:D,$E$1,Entries!I:I,"People and Culture"))</f>
        <v/>
      </c>
      <c r="H73" t="str">
        <f>IF(A73="","",SUMIFS(Entries!P:P,Entries!E:E,A73,Entries!B:B,$B$1,Entries!D:D,$E$1,Entries!I:I,"ESG and Sustainability"))</f>
        <v/>
      </c>
      <c r="I73" t="str">
        <f>IF(A73="","",SUMIFS(Entries!P:P,Entries!E:E,A73,Entries!B:B,$B$1,Entries!D:D,$E$1,Entries!I:I,"Learning and Innovation"))</f>
        <v/>
      </c>
    </row>
    <row r="74" spans="2:9" x14ac:dyDescent="0.35">
      <c r="B74" t="str">
        <f>IF(A74="","",SUMIFS(Entries!P:P,Entries!E:E,A74,Entries!B:B,$B$1,Entries!D:D,$E$1))</f>
        <v/>
      </c>
      <c r="C74" t="str">
        <f t="shared" si="2"/>
        <v/>
      </c>
      <c r="D74" t="str">
        <f>IF(A74="","",SUMIFS(Entries!P:P,Entries!E:E,A74,Entries!B:B,$B$1,Entries!D:D,$E$1,Entries!I:I,"Customers/Stakeholders"))</f>
        <v/>
      </c>
      <c r="E74" t="str">
        <f>IF(A74="","",SUMIFS(Entries!P:P,Entries!E:E,A74,Entries!B:B,$B$1,Entries!D:D,$E$1,Entries!I:I,"Financial"))</f>
        <v/>
      </c>
      <c r="F74" t="str">
        <f>IF(A74="","",SUMIFS(Entries!P:P,Entries!E:E,A74,Entries!B:B,$B$1,Entries!D:D,$E$1,Entries!I:I,"Internal Business Process"))</f>
        <v/>
      </c>
      <c r="G74" t="str">
        <f>IF(A74="","",SUMIFS(Entries!P:P,Entries!E:E,A74,Entries!B:B,$B$1,Entries!D:D,$E$1,Entries!I:I,"People and Culture"))</f>
        <v/>
      </c>
      <c r="H74" t="str">
        <f>IF(A74="","",SUMIFS(Entries!P:P,Entries!E:E,A74,Entries!B:B,$B$1,Entries!D:D,$E$1,Entries!I:I,"ESG and Sustainability"))</f>
        <v/>
      </c>
      <c r="I74" t="str">
        <f>IF(A74="","",SUMIFS(Entries!P:P,Entries!E:E,A74,Entries!B:B,$B$1,Entries!D:D,$E$1,Entries!I:I,"Learning and Innovation"))</f>
        <v/>
      </c>
    </row>
    <row r="75" spans="2:9" x14ac:dyDescent="0.35">
      <c r="B75" t="str">
        <f>IF(A75="","",SUMIFS(Entries!P:P,Entries!E:E,A75,Entries!B:B,$B$1,Entries!D:D,$E$1))</f>
        <v/>
      </c>
      <c r="C75" t="str">
        <f t="shared" si="2"/>
        <v/>
      </c>
      <c r="D75" t="str">
        <f>IF(A75="","",SUMIFS(Entries!P:P,Entries!E:E,A75,Entries!B:B,$B$1,Entries!D:D,$E$1,Entries!I:I,"Customers/Stakeholders"))</f>
        <v/>
      </c>
      <c r="E75" t="str">
        <f>IF(A75="","",SUMIFS(Entries!P:P,Entries!E:E,A75,Entries!B:B,$B$1,Entries!D:D,$E$1,Entries!I:I,"Financial"))</f>
        <v/>
      </c>
      <c r="F75" t="str">
        <f>IF(A75="","",SUMIFS(Entries!P:P,Entries!E:E,A75,Entries!B:B,$B$1,Entries!D:D,$E$1,Entries!I:I,"Internal Business Process"))</f>
        <v/>
      </c>
      <c r="G75" t="str">
        <f>IF(A75="","",SUMIFS(Entries!P:P,Entries!E:E,A75,Entries!B:B,$B$1,Entries!D:D,$E$1,Entries!I:I,"People and Culture"))</f>
        <v/>
      </c>
      <c r="H75" t="str">
        <f>IF(A75="","",SUMIFS(Entries!P:P,Entries!E:E,A75,Entries!B:B,$B$1,Entries!D:D,$E$1,Entries!I:I,"ESG and Sustainability"))</f>
        <v/>
      </c>
      <c r="I75" t="str">
        <f>IF(A75="","",SUMIFS(Entries!P:P,Entries!E:E,A75,Entries!B:B,$B$1,Entries!D:D,$E$1,Entries!I:I,"Learning and Innovation"))</f>
        <v/>
      </c>
    </row>
    <row r="76" spans="2:9" x14ac:dyDescent="0.35">
      <c r="B76" t="str">
        <f>IF(A76="","",SUMIFS(Entries!P:P,Entries!E:E,A76,Entries!B:B,$B$1,Entries!D:D,$E$1))</f>
        <v/>
      </c>
      <c r="C76" t="str">
        <f t="shared" si="2"/>
        <v/>
      </c>
      <c r="D76" t="str">
        <f>IF(A76="","",SUMIFS(Entries!P:P,Entries!E:E,A76,Entries!B:B,$B$1,Entries!D:D,$E$1,Entries!I:I,"Customers/Stakeholders"))</f>
        <v/>
      </c>
      <c r="E76" t="str">
        <f>IF(A76="","",SUMIFS(Entries!P:P,Entries!E:E,A76,Entries!B:B,$B$1,Entries!D:D,$E$1,Entries!I:I,"Financial"))</f>
        <v/>
      </c>
      <c r="F76" t="str">
        <f>IF(A76="","",SUMIFS(Entries!P:P,Entries!E:E,A76,Entries!B:B,$B$1,Entries!D:D,$E$1,Entries!I:I,"Internal Business Process"))</f>
        <v/>
      </c>
      <c r="G76" t="str">
        <f>IF(A76="","",SUMIFS(Entries!P:P,Entries!E:E,A76,Entries!B:B,$B$1,Entries!D:D,$E$1,Entries!I:I,"People and Culture"))</f>
        <v/>
      </c>
      <c r="H76" t="str">
        <f>IF(A76="","",SUMIFS(Entries!P:P,Entries!E:E,A76,Entries!B:B,$B$1,Entries!D:D,$E$1,Entries!I:I,"ESG and Sustainability"))</f>
        <v/>
      </c>
      <c r="I76" t="str">
        <f>IF(A76="","",SUMIFS(Entries!P:P,Entries!E:E,A76,Entries!B:B,$B$1,Entries!D:D,$E$1,Entries!I:I,"Learning and Innovation"))</f>
        <v/>
      </c>
    </row>
    <row r="77" spans="2:9" x14ac:dyDescent="0.35">
      <c r="B77" t="str">
        <f>IF(A77="","",SUMIFS(Entries!P:P,Entries!E:E,A77,Entries!B:B,$B$1,Entries!D:D,$E$1))</f>
        <v/>
      </c>
      <c r="C77" t="str">
        <f t="shared" si="2"/>
        <v/>
      </c>
      <c r="D77" t="str">
        <f>IF(A77="","",SUMIFS(Entries!P:P,Entries!E:E,A77,Entries!B:B,$B$1,Entries!D:D,$E$1,Entries!I:I,"Customers/Stakeholders"))</f>
        <v/>
      </c>
      <c r="E77" t="str">
        <f>IF(A77="","",SUMIFS(Entries!P:P,Entries!E:E,A77,Entries!B:B,$B$1,Entries!D:D,$E$1,Entries!I:I,"Financial"))</f>
        <v/>
      </c>
      <c r="F77" t="str">
        <f>IF(A77="","",SUMIFS(Entries!P:P,Entries!E:E,A77,Entries!B:B,$B$1,Entries!D:D,$E$1,Entries!I:I,"Internal Business Process"))</f>
        <v/>
      </c>
      <c r="G77" t="str">
        <f>IF(A77="","",SUMIFS(Entries!P:P,Entries!E:E,A77,Entries!B:B,$B$1,Entries!D:D,$E$1,Entries!I:I,"People and Culture"))</f>
        <v/>
      </c>
      <c r="H77" t="str">
        <f>IF(A77="","",SUMIFS(Entries!P:P,Entries!E:E,A77,Entries!B:B,$B$1,Entries!D:D,$E$1,Entries!I:I,"ESG and Sustainability"))</f>
        <v/>
      </c>
      <c r="I77" t="str">
        <f>IF(A77="","",SUMIFS(Entries!P:P,Entries!E:E,A77,Entries!B:B,$B$1,Entries!D:D,$E$1,Entries!I:I,"Learning and Innovation"))</f>
        <v/>
      </c>
    </row>
    <row r="78" spans="2:9" x14ac:dyDescent="0.35">
      <c r="B78" t="str">
        <f>IF(A78="","",SUMIFS(Entries!P:P,Entries!E:E,A78,Entries!B:B,$B$1,Entries!D:D,$E$1))</f>
        <v/>
      </c>
      <c r="C78" t="str">
        <f t="shared" si="2"/>
        <v/>
      </c>
      <c r="D78" t="str">
        <f>IF(A78="","",SUMIFS(Entries!P:P,Entries!E:E,A78,Entries!B:B,$B$1,Entries!D:D,$E$1,Entries!I:I,"Customers/Stakeholders"))</f>
        <v/>
      </c>
      <c r="E78" t="str">
        <f>IF(A78="","",SUMIFS(Entries!P:P,Entries!E:E,A78,Entries!B:B,$B$1,Entries!D:D,$E$1,Entries!I:I,"Financial"))</f>
        <v/>
      </c>
      <c r="F78" t="str">
        <f>IF(A78="","",SUMIFS(Entries!P:P,Entries!E:E,A78,Entries!B:B,$B$1,Entries!D:D,$E$1,Entries!I:I,"Internal Business Process"))</f>
        <v/>
      </c>
      <c r="G78" t="str">
        <f>IF(A78="","",SUMIFS(Entries!P:P,Entries!E:E,A78,Entries!B:B,$B$1,Entries!D:D,$E$1,Entries!I:I,"People and Culture"))</f>
        <v/>
      </c>
      <c r="H78" t="str">
        <f>IF(A78="","",SUMIFS(Entries!P:P,Entries!E:E,A78,Entries!B:B,$B$1,Entries!D:D,$E$1,Entries!I:I,"ESG and Sustainability"))</f>
        <v/>
      </c>
      <c r="I78" t="str">
        <f>IF(A78="","",SUMIFS(Entries!P:P,Entries!E:E,A78,Entries!B:B,$B$1,Entries!D:D,$E$1,Entries!I:I,"Learning and Innovation"))</f>
        <v/>
      </c>
    </row>
    <row r="79" spans="2:9" x14ac:dyDescent="0.35">
      <c r="B79" t="str">
        <f>IF(A79="","",SUMIFS(Entries!P:P,Entries!E:E,A79,Entries!B:B,$B$1,Entries!D:D,$E$1))</f>
        <v/>
      </c>
      <c r="C79" t="str">
        <f t="shared" si="2"/>
        <v/>
      </c>
      <c r="D79" t="str">
        <f>IF(A79="","",SUMIFS(Entries!P:P,Entries!E:E,A79,Entries!B:B,$B$1,Entries!D:D,$E$1,Entries!I:I,"Customers/Stakeholders"))</f>
        <v/>
      </c>
      <c r="E79" t="str">
        <f>IF(A79="","",SUMIFS(Entries!P:P,Entries!E:E,A79,Entries!B:B,$B$1,Entries!D:D,$E$1,Entries!I:I,"Financial"))</f>
        <v/>
      </c>
      <c r="F79" t="str">
        <f>IF(A79="","",SUMIFS(Entries!P:P,Entries!E:E,A79,Entries!B:B,$B$1,Entries!D:D,$E$1,Entries!I:I,"Internal Business Process"))</f>
        <v/>
      </c>
      <c r="G79" t="str">
        <f>IF(A79="","",SUMIFS(Entries!P:P,Entries!E:E,A79,Entries!B:B,$B$1,Entries!D:D,$E$1,Entries!I:I,"People and Culture"))</f>
        <v/>
      </c>
      <c r="H79" t="str">
        <f>IF(A79="","",SUMIFS(Entries!P:P,Entries!E:E,A79,Entries!B:B,$B$1,Entries!D:D,$E$1,Entries!I:I,"ESG and Sustainability"))</f>
        <v/>
      </c>
      <c r="I79" t="str">
        <f>IF(A79="","",SUMIFS(Entries!P:P,Entries!E:E,A79,Entries!B:B,$B$1,Entries!D:D,$E$1,Entries!I:I,"Learning and Innovation"))</f>
        <v/>
      </c>
    </row>
    <row r="80" spans="2:9" x14ac:dyDescent="0.35">
      <c r="B80" t="str">
        <f>IF(A80="","",SUMIFS(Entries!P:P,Entries!E:E,A80,Entries!B:B,$B$1,Entries!D:D,$E$1))</f>
        <v/>
      </c>
      <c r="C80" t="str">
        <f t="shared" si="2"/>
        <v/>
      </c>
      <c r="D80" t="str">
        <f>IF(A80="","",SUMIFS(Entries!P:P,Entries!E:E,A80,Entries!B:B,$B$1,Entries!D:D,$E$1,Entries!I:I,"Customers/Stakeholders"))</f>
        <v/>
      </c>
      <c r="E80" t="str">
        <f>IF(A80="","",SUMIFS(Entries!P:P,Entries!E:E,A80,Entries!B:B,$B$1,Entries!D:D,$E$1,Entries!I:I,"Financial"))</f>
        <v/>
      </c>
      <c r="F80" t="str">
        <f>IF(A80="","",SUMIFS(Entries!P:P,Entries!E:E,A80,Entries!B:B,$B$1,Entries!D:D,$E$1,Entries!I:I,"Internal Business Process"))</f>
        <v/>
      </c>
      <c r="G80" t="str">
        <f>IF(A80="","",SUMIFS(Entries!P:P,Entries!E:E,A80,Entries!B:B,$B$1,Entries!D:D,$E$1,Entries!I:I,"People and Culture"))</f>
        <v/>
      </c>
      <c r="H80" t="str">
        <f>IF(A80="","",SUMIFS(Entries!P:P,Entries!E:E,A80,Entries!B:B,$B$1,Entries!D:D,$E$1,Entries!I:I,"ESG and Sustainability"))</f>
        <v/>
      </c>
      <c r="I80" t="str">
        <f>IF(A80="","",SUMIFS(Entries!P:P,Entries!E:E,A80,Entries!B:B,$B$1,Entries!D:D,$E$1,Entries!I:I,"Learning and Innovation"))</f>
        <v/>
      </c>
    </row>
    <row r="81" spans="2:9" x14ac:dyDescent="0.35">
      <c r="B81" t="str">
        <f>IF(A81="","",SUMIFS(Entries!P:P,Entries!E:E,A81,Entries!B:B,$B$1,Entries!D:D,$E$1))</f>
        <v/>
      </c>
      <c r="C81" t="str">
        <f t="shared" si="2"/>
        <v/>
      </c>
      <c r="D81" t="str">
        <f>IF(A81="","",SUMIFS(Entries!P:P,Entries!E:E,A81,Entries!B:B,$B$1,Entries!D:D,$E$1,Entries!I:I,"Customers/Stakeholders"))</f>
        <v/>
      </c>
      <c r="E81" t="str">
        <f>IF(A81="","",SUMIFS(Entries!P:P,Entries!E:E,A81,Entries!B:B,$B$1,Entries!D:D,$E$1,Entries!I:I,"Financial"))</f>
        <v/>
      </c>
      <c r="F81" t="str">
        <f>IF(A81="","",SUMIFS(Entries!P:P,Entries!E:E,A81,Entries!B:B,$B$1,Entries!D:D,$E$1,Entries!I:I,"Internal Business Process"))</f>
        <v/>
      </c>
      <c r="G81" t="str">
        <f>IF(A81="","",SUMIFS(Entries!P:P,Entries!E:E,A81,Entries!B:B,$B$1,Entries!D:D,$E$1,Entries!I:I,"People and Culture"))</f>
        <v/>
      </c>
      <c r="H81" t="str">
        <f>IF(A81="","",SUMIFS(Entries!P:P,Entries!E:E,A81,Entries!B:B,$B$1,Entries!D:D,$E$1,Entries!I:I,"ESG and Sustainability"))</f>
        <v/>
      </c>
      <c r="I81" t="str">
        <f>IF(A81="","",SUMIFS(Entries!P:P,Entries!E:E,A81,Entries!B:B,$B$1,Entries!D:D,$E$1,Entries!I:I,"Learning and Innovation"))</f>
        <v/>
      </c>
    </row>
    <row r="82" spans="2:9" x14ac:dyDescent="0.35">
      <c r="B82" t="str">
        <f>IF(A82="","",SUMIFS(Entries!P:P,Entries!E:E,A82,Entries!B:B,$B$1,Entries!D:D,$E$1))</f>
        <v/>
      </c>
      <c r="C82" t="str">
        <f t="shared" si="2"/>
        <v/>
      </c>
      <c r="D82" t="str">
        <f>IF(A82="","",SUMIFS(Entries!P:P,Entries!E:E,A82,Entries!B:B,$B$1,Entries!D:D,$E$1,Entries!I:I,"Customers/Stakeholders"))</f>
        <v/>
      </c>
      <c r="E82" t="str">
        <f>IF(A82="","",SUMIFS(Entries!P:P,Entries!E:E,A82,Entries!B:B,$B$1,Entries!D:D,$E$1,Entries!I:I,"Financial"))</f>
        <v/>
      </c>
      <c r="F82" t="str">
        <f>IF(A82="","",SUMIFS(Entries!P:P,Entries!E:E,A82,Entries!B:B,$B$1,Entries!D:D,$E$1,Entries!I:I,"Internal Business Process"))</f>
        <v/>
      </c>
      <c r="G82" t="str">
        <f>IF(A82="","",SUMIFS(Entries!P:P,Entries!E:E,A82,Entries!B:B,$B$1,Entries!D:D,$E$1,Entries!I:I,"People and Culture"))</f>
        <v/>
      </c>
      <c r="H82" t="str">
        <f>IF(A82="","",SUMIFS(Entries!P:P,Entries!E:E,A82,Entries!B:B,$B$1,Entries!D:D,$E$1,Entries!I:I,"ESG and Sustainability"))</f>
        <v/>
      </c>
      <c r="I82" t="str">
        <f>IF(A82="","",SUMIFS(Entries!P:P,Entries!E:E,A82,Entries!B:B,$B$1,Entries!D:D,$E$1,Entries!I:I,"Learning and Innovation"))</f>
        <v/>
      </c>
    </row>
    <row r="83" spans="2:9" x14ac:dyDescent="0.35">
      <c r="B83" t="str">
        <f>IF(A83="","",SUMIFS(Entries!P:P,Entries!E:E,A83,Entries!B:B,$B$1,Entries!D:D,$E$1))</f>
        <v/>
      </c>
      <c r="C83" t="str">
        <f t="shared" si="2"/>
        <v/>
      </c>
      <c r="D83" t="str">
        <f>IF(A83="","",SUMIFS(Entries!P:P,Entries!E:E,A83,Entries!B:B,$B$1,Entries!D:D,$E$1,Entries!I:I,"Customers/Stakeholders"))</f>
        <v/>
      </c>
      <c r="E83" t="str">
        <f>IF(A83="","",SUMIFS(Entries!P:P,Entries!E:E,A83,Entries!B:B,$B$1,Entries!D:D,$E$1,Entries!I:I,"Financial"))</f>
        <v/>
      </c>
      <c r="F83" t="str">
        <f>IF(A83="","",SUMIFS(Entries!P:P,Entries!E:E,A83,Entries!B:B,$B$1,Entries!D:D,$E$1,Entries!I:I,"Internal Business Process"))</f>
        <v/>
      </c>
      <c r="G83" t="str">
        <f>IF(A83="","",SUMIFS(Entries!P:P,Entries!E:E,A83,Entries!B:B,$B$1,Entries!D:D,$E$1,Entries!I:I,"People and Culture"))</f>
        <v/>
      </c>
      <c r="H83" t="str">
        <f>IF(A83="","",SUMIFS(Entries!P:P,Entries!E:E,A83,Entries!B:B,$B$1,Entries!D:D,$E$1,Entries!I:I,"ESG and Sustainability"))</f>
        <v/>
      </c>
      <c r="I83" t="str">
        <f>IF(A83="","",SUMIFS(Entries!P:P,Entries!E:E,A83,Entries!B:B,$B$1,Entries!D:D,$E$1,Entries!I:I,"Learning and Innovation"))</f>
        <v/>
      </c>
    </row>
    <row r="84" spans="2:9" x14ac:dyDescent="0.35">
      <c r="B84" t="str">
        <f>IF(A84="","",SUMIFS(Entries!P:P,Entries!E:E,A84,Entries!B:B,$B$1,Entries!D:D,$E$1))</f>
        <v/>
      </c>
      <c r="C84" t="str">
        <f t="shared" si="2"/>
        <v/>
      </c>
      <c r="D84" t="str">
        <f>IF(A84="","",SUMIFS(Entries!P:P,Entries!E:E,A84,Entries!B:B,$B$1,Entries!D:D,$E$1,Entries!I:I,"Customers/Stakeholders"))</f>
        <v/>
      </c>
      <c r="E84" t="str">
        <f>IF(A84="","",SUMIFS(Entries!P:P,Entries!E:E,A84,Entries!B:B,$B$1,Entries!D:D,$E$1,Entries!I:I,"Financial"))</f>
        <v/>
      </c>
      <c r="F84" t="str">
        <f>IF(A84="","",SUMIFS(Entries!P:P,Entries!E:E,A84,Entries!B:B,$B$1,Entries!D:D,$E$1,Entries!I:I,"Internal Business Process"))</f>
        <v/>
      </c>
      <c r="G84" t="str">
        <f>IF(A84="","",SUMIFS(Entries!P:P,Entries!E:E,A84,Entries!B:B,$B$1,Entries!D:D,$E$1,Entries!I:I,"People and Culture"))</f>
        <v/>
      </c>
      <c r="H84" t="str">
        <f>IF(A84="","",SUMIFS(Entries!P:P,Entries!E:E,A84,Entries!B:B,$B$1,Entries!D:D,$E$1,Entries!I:I,"ESG and Sustainability"))</f>
        <v/>
      </c>
      <c r="I84" t="str">
        <f>IF(A84="","",SUMIFS(Entries!P:P,Entries!E:E,A84,Entries!B:B,$B$1,Entries!D:D,$E$1,Entries!I:I,"Learning and Innovation"))</f>
        <v/>
      </c>
    </row>
    <row r="85" spans="2:9" x14ac:dyDescent="0.35">
      <c r="B85" t="str">
        <f>IF(A85="","",SUMIFS(Entries!P:P,Entries!E:E,A85,Entries!B:B,$B$1,Entries!D:D,$E$1))</f>
        <v/>
      </c>
      <c r="C85" t="str">
        <f t="shared" si="2"/>
        <v/>
      </c>
      <c r="D85" t="str">
        <f>IF(A85="","",SUMIFS(Entries!P:P,Entries!E:E,A85,Entries!B:B,$B$1,Entries!D:D,$E$1,Entries!I:I,"Customers/Stakeholders"))</f>
        <v/>
      </c>
      <c r="E85" t="str">
        <f>IF(A85="","",SUMIFS(Entries!P:P,Entries!E:E,A85,Entries!B:B,$B$1,Entries!D:D,$E$1,Entries!I:I,"Financial"))</f>
        <v/>
      </c>
      <c r="F85" t="str">
        <f>IF(A85="","",SUMIFS(Entries!P:P,Entries!E:E,A85,Entries!B:B,$B$1,Entries!D:D,$E$1,Entries!I:I,"Internal Business Process"))</f>
        <v/>
      </c>
      <c r="G85" t="str">
        <f>IF(A85="","",SUMIFS(Entries!P:P,Entries!E:E,A85,Entries!B:B,$B$1,Entries!D:D,$E$1,Entries!I:I,"People and Culture"))</f>
        <v/>
      </c>
      <c r="H85" t="str">
        <f>IF(A85="","",SUMIFS(Entries!P:P,Entries!E:E,A85,Entries!B:B,$B$1,Entries!D:D,$E$1,Entries!I:I,"ESG and Sustainability"))</f>
        <v/>
      </c>
      <c r="I85" t="str">
        <f>IF(A85="","",SUMIFS(Entries!P:P,Entries!E:E,A85,Entries!B:B,$B$1,Entries!D:D,$E$1,Entries!I:I,"Learning and Innovation"))</f>
        <v/>
      </c>
    </row>
    <row r="86" spans="2:9" x14ac:dyDescent="0.35">
      <c r="B86" t="str">
        <f>IF(A86="","",SUMIFS(Entries!P:P,Entries!E:E,A86,Entries!B:B,$B$1,Entries!D:D,$E$1))</f>
        <v/>
      </c>
      <c r="C86" t="str">
        <f t="shared" si="2"/>
        <v/>
      </c>
      <c r="D86" t="str">
        <f>IF(A86="","",SUMIFS(Entries!P:P,Entries!E:E,A86,Entries!B:B,$B$1,Entries!D:D,$E$1,Entries!I:I,"Customers/Stakeholders"))</f>
        <v/>
      </c>
      <c r="E86" t="str">
        <f>IF(A86="","",SUMIFS(Entries!P:P,Entries!E:E,A86,Entries!B:B,$B$1,Entries!D:D,$E$1,Entries!I:I,"Financial"))</f>
        <v/>
      </c>
      <c r="F86" t="str">
        <f>IF(A86="","",SUMIFS(Entries!P:P,Entries!E:E,A86,Entries!B:B,$B$1,Entries!D:D,$E$1,Entries!I:I,"Internal Business Process"))</f>
        <v/>
      </c>
      <c r="G86" t="str">
        <f>IF(A86="","",SUMIFS(Entries!P:P,Entries!E:E,A86,Entries!B:B,$B$1,Entries!D:D,$E$1,Entries!I:I,"People and Culture"))</f>
        <v/>
      </c>
      <c r="H86" t="str">
        <f>IF(A86="","",SUMIFS(Entries!P:P,Entries!E:E,A86,Entries!B:B,$B$1,Entries!D:D,$E$1,Entries!I:I,"ESG and Sustainability"))</f>
        <v/>
      </c>
      <c r="I86" t="str">
        <f>IF(A86="","",SUMIFS(Entries!P:P,Entries!E:E,A86,Entries!B:B,$B$1,Entries!D:D,$E$1,Entries!I:I,"Learning and Innovation"))</f>
        <v/>
      </c>
    </row>
    <row r="87" spans="2:9" x14ac:dyDescent="0.35">
      <c r="B87" t="str">
        <f>IF(A87="","",SUMIFS(Entries!P:P,Entries!E:E,A87,Entries!B:B,$B$1,Entries!D:D,$E$1))</f>
        <v/>
      </c>
      <c r="C87" t="str">
        <f t="shared" si="2"/>
        <v/>
      </c>
      <c r="D87" t="str">
        <f>IF(A87="","",SUMIFS(Entries!P:P,Entries!E:E,A87,Entries!B:B,$B$1,Entries!D:D,$E$1,Entries!I:I,"Customers/Stakeholders"))</f>
        <v/>
      </c>
      <c r="E87" t="str">
        <f>IF(A87="","",SUMIFS(Entries!P:P,Entries!E:E,A87,Entries!B:B,$B$1,Entries!D:D,$E$1,Entries!I:I,"Financial"))</f>
        <v/>
      </c>
      <c r="F87" t="str">
        <f>IF(A87="","",SUMIFS(Entries!P:P,Entries!E:E,A87,Entries!B:B,$B$1,Entries!D:D,$E$1,Entries!I:I,"Internal Business Process"))</f>
        <v/>
      </c>
      <c r="G87" t="str">
        <f>IF(A87="","",SUMIFS(Entries!P:P,Entries!E:E,A87,Entries!B:B,$B$1,Entries!D:D,$E$1,Entries!I:I,"People and Culture"))</f>
        <v/>
      </c>
      <c r="H87" t="str">
        <f>IF(A87="","",SUMIFS(Entries!P:P,Entries!E:E,A87,Entries!B:B,$B$1,Entries!D:D,$E$1,Entries!I:I,"ESG and Sustainability"))</f>
        <v/>
      </c>
      <c r="I87" t="str">
        <f>IF(A87="","",SUMIFS(Entries!P:P,Entries!E:E,A87,Entries!B:B,$B$1,Entries!D:D,$E$1,Entries!I:I,"Learning and Innovation"))</f>
        <v/>
      </c>
    </row>
    <row r="88" spans="2:9" x14ac:dyDescent="0.35">
      <c r="B88" t="str">
        <f>IF(A88="","",SUMIFS(Entries!P:P,Entries!E:E,A88,Entries!B:B,$B$1,Entries!D:D,$E$1))</f>
        <v/>
      </c>
      <c r="C88" t="str">
        <f t="shared" si="2"/>
        <v/>
      </c>
      <c r="D88" t="str">
        <f>IF(A88="","",SUMIFS(Entries!P:P,Entries!E:E,A88,Entries!B:B,$B$1,Entries!D:D,$E$1,Entries!I:I,"Customers/Stakeholders"))</f>
        <v/>
      </c>
      <c r="E88" t="str">
        <f>IF(A88="","",SUMIFS(Entries!P:P,Entries!E:E,A88,Entries!B:B,$B$1,Entries!D:D,$E$1,Entries!I:I,"Financial"))</f>
        <v/>
      </c>
      <c r="F88" t="str">
        <f>IF(A88="","",SUMIFS(Entries!P:P,Entries!E:E,A88,Entries!B:B,$B$1,Entries!D:D,$E$1,Entries!I:I,"Internal Business Process"))</f>
        <v/>
      </c>
      <c r="G88" t="str">
        <f>IF(A88="","",SUMIFS(Entries!P:P,Entries!E:E,A88,Entries!B:B,$B$1,Entries!D:D,$E$1,Entries!I:I,"People and Culture"))</f>
        <v/>
      </c>
      <c r="H88" t="str">
        <f>IF(A88="","",SUMIFS(Entries!P:P,Entries!E:E,A88,Entries!B:B,$B$1,Entries!D:D,$E$1,Entries!I:I,"ESG and Sustainability"))</f>
        <v/>
      </c>
      <c r="I88" t="str">
        <f>IF(A88="","",SUMIFS(Entries!P:P,Entries!E:E,A88,Entries!B:B,$B$1,Entries!D:D,$E$1,Entries!I:I,"Learning and Innovation"))</f>
        <v/>
      </c>
    </row>
    <row r="89" spans="2:9" x14ac:dyDescent="0.35">
      <c r="B89" t="str">
        <f>IF(A89="","",SUMIFS(Entries!P:P,Entries!E:E,A89,Entries!B:B,$B$1,Entries!D:D,$E$1))</f>
        <v/>
      </c>
      <c r="C89" t="str">
        <f t="shared" si="2"/>
        <v/>
      </c>
      <c r="D89" t="str">
        <f>IF(A89="","",SUMIFS(Entries!P:P,Entries!E:E,A89,Entries!B:B,$B$1,Entries!D:D,$E$1,Entries!I:I,"Customers/Stakeholders"))</f>
        <v/>
      </c>
      <c r="E89" t="str">
        <f>IF(A89="","",SUMIFS(Entries!P:P,Entries!E:E,A89,Entries!B:B,$B$1,Entries!D:D,$E$1,Entries!I:I,"Financial"))</f>
        <v/>
      </c>
      <c r="F89" t="str">
        <f>IF(A89="","",SUMIFS(Entries!P:P,Entries!E:E,A89,Entries!B:B,$B$1,Entries!D:D,$E$1,Entries!I:I,"Internal Business Process"))</f>
        <v/>
      </c>
      <c r="G89" t="str">
        <f>IF(A89="","",SUMIFS(Entries!P:P,Entries!E:E,A89,Entries!B:B,$B$1,Entries!D:D,$E$1,Entries!I:I,"People and Culture"))</f>
        <v/>
      </c>
      <c r="H89" t="str">
        <f>IF(A89="","",SUMIFS(Entries!P:P,Entries!E:E,A89,Entries!B:B,$B$1,Entries!D:D,$E$1,Entries!I:I,"ESG and Sustainability"))</f>
        <v/>
      </c>
      <c r="I89" t="str">
        <f>IF(A89="","",SUMIFS(Entries!P:P,Entries!E:E,A89,Entries!B:B,$B$1,Entries!D:D,$E$1,Entries!I:I,"Learning and Innovation"))</f>
        <v/>
      </c>
    </row>
    <row r="90" spans="2:9" x14ac:dyDescent="0.35">
      <c r="B90" t="str">
        <f>IF(A90="","",SUMIFS(Entries!P:P,Entries!E:E,A90,Entries!B:B,$B$1,Entries!D:D,$E$1))</f>
        <v/>
      </c>
      <c r="C90" t="str">
        <f t="shared" si="2"/>
        <v/>
      </c>
      <c r="D90" t="str">
        <f>IF(A90="","",SUMIFS(Entries!P:P,Entries!E:E,A90,Entries!B:B,$B$1,Entries!D:D,$E$1,Entries!I:I,"Customers/Stakeholders"))</f>
        <v/>
      </c>
      <c r="E90" t="str">
        <f>IF(A90="","",SUMIFS(Entries!P:P,Entries!E:E,A90,Entries!B:B,$B$1,Entries!D:D,$E$1,Entries!I:I,"Financial"))</f>
        <v/>
      </c>
      <c r="F90" t="str">
        <f>IF(A90="","",SUMIFS(Entries!P:P,Entries!E:E,A90,Entries!B:B,$B$1,Entries!D:D,$E$1,Entries!I:I,"Internal Business Process"))</f>
        <v/>
      </c>
      <c r="G90" t="str">
        <f>IF(A90="","",SUMIFS(Entries!P:P,Entries!E:E,A90,Entries!B:B,$B$1,Entries!D:D,$E$1,Entries!I:I,"People and Culture"))</f>
        <v/>
      </c>
      <c r="H90" t="str">
        <f>IF(A90="","",SUMIFS(Entries!P:P,Entries!E:E,A90,Entries!B:B,$B$1,Entries!D:D,$E$1,Entries!I:I,"ESG and Sustainability"))</f>
        <v/>
      </c>
      <c r="I90" t="str">
        <f>IF(A90="","",SUMIFS(Entries!P:P,Entries!E:E,A90,Entries!B:B,$B$1,Entries!D:D,$E$1,Entries!I:I,"Learning and Innovation"))</f>
        <v/>
      </c>
    </row>
    <row r="91" spans="2:9" x14ac:dyDescent="0.35">
      <c r="B91" t="str">
        <f>IF(A91="","",SUMIFS(Entries!P:P,Entries!E:E,A91,Entries!B:B,$B$1,Entries!D:D,$E$1))</f>
        <v/>
      </c>
      <c r="C91" t="str">
        <f t="shared" si="2"/>
        <v/>
      </c>
      <c r="D91" t="str">
        <f>IF(A91="","",SUMIFS(Entries!P:P,Entries!E:E,A91,Entries!B:B,$B$1,Entries!D:D,$E$1,Entries!I:I,"Customers/Stakeholders"))</f>
        <v/>
      </c>
      <c r="E91" t="str">
        <f>IF(A91="","",SUMIFS(Entries!P:P,Entries!E:E,A91,Entries!B:B,$B$1,Entries!D:D,$E$1,Entries!I:I,"Financial"))</f>
        <v/>
      </c>
      <c r="F91" t="str">
        <f>IF(A91="","",SUMIFS(Entries!P:P,Entries!E:E,A91,Entries!B:B,$B$1,Entries!D:D,$E$1,Entries!I:I,"Internal Business Process"))</f>
        <v/>
      </c>
      <c r="G91" t="str">
        <f>IF(A91="","",SUMIFS(Entries!P:P,Entries!E:E,A91,Entries!B:B,$B$1,Entries!D:D,$E$1,Entries!I:I,"People and Culture"))</f>
        <v/>
      </c>
      <c r="H91" t="str">
        <f>IF(A91="","",SUMIFS(Entries!P:P,Entries!E:E,A91,Entries!B:B,$B$1,Entries!D:D,$E$1,Entries!I:I,"ESG and Sustainability"))</f>
        <v/>
      </c>
      <c r="I91" t="str">
        <f>IF(A91="","",SUMIFS(Entries!P:P,Entries!E:E,A91,Entries!B:B,$B$1,Entries!D:D,$E$1,Entries!I:I,"Learning and Innovation"))</f>
        <v/>
      </c>
    </row>
    <row r="92" spans="2:9" x14ac:dyDescent="0.35">
      <c r="B92" t="str">
        <f>IF(A92="","",SUMIFS(Entries!P:P,Entries!E:E,A92,Entries!B:B,$B$1,Entries!D:D,$E$1))</f>
        <v/>
      </c>
      <c r="C92" t="str">
        <f t="shared" si="2"/>
        <v/>
      </c>
      <c r="D92" t="str">
        <f>IF(A92="","",SUMIFS(Entries!P:P,Entries!E:E,A92,Entries!B:B,$B$1,Entries!D:D,$E$1,Entries!I:I,"Customers/Stakeholders"))</f>
        <v/>
      </c>
      <c r="E92" t="str">
        <f>IF(A92="","",SUMIFS(Entries!P:P,Entries!E:E,A92,Entries!B:B,$B$1,Entries!D:D,$E$1,Entries!I:I,"Financial"))</f>
        <v/>
      </c>
      <c r="F92" t="str">
        <f>IF(A92="","",SUMIFS(Entries!P:P,Entries!E:E,A92,Entries!B:B,$B$1,Entries!D:D,$E$1,Entries!I:I,"Internal Business Process"))</f>
        <v/>
      </c>
      <c r="G92" t="str">
        <f>IF(A92="","",SUMIFS(Entries!P:P,Entries!E:E,A92,Entries!B:B,$B$1,Entries!D:D,$E$1,Entries!I:I,"People and Culture"))</f>
        <v/>
      </c>
      <c r="H92" t="str">
        <f>IF(A92="","",SUMIFS(Entries!P:P,Entries!E:E,A92,Entries!B:B,$B$1,Entries!D:D,$E$1,Entries!I:I,"ESG and Sustainability"))</f>
        <v/>
      </c>
      <c r="I92" t="str">
        <f>IF(A92="","",SUMIFS(Entries!P:P,Entries!E:E,A92,Entries!B:B,$B$1,Entries!D:D,$E$1,Entries!I:I,"Learning and Innovation"))</f>
        <v/>
      </c>
    </row>
    <row r="93" spans="2:9" x14ac:dyDescent="0.35">
      <c r="B93" t="str">
        <f>IF(A93="","",SUMIFS(Entries!P:P,Entries!E:E,A93,Entries!B:B,$B$1,Entries!D:D,$E$1))</f>
        <v/>
      </c>
      <c r="C93" t="str">
        <f t="shared" si="2"/>
        <v/>
      </c>
      <c r="D93" t="str">
        <f>IF(A93="","",SUMIFS(Entries!P:P,Entries!E:E,A93,Entries!B:B,$B$1,Entries!D:D,$E$1,Entries!I:I,"Customers/Stakeholders"))</f>
        <v/>
      </c>
      <c r="E93" t="str">
        <f>IF(A93="","",SUMIFS(Entries!P:P,Entries!E:E,A93,Entries!B:B,$B$1,Entries!D:D,$E$1,Entries!I:I,"Financial"))</f>
        <v/>
      </c>
      <c r="F93" t="str">
        <f>IF(A93="","",SUMIFS(Entries!P:P,Entries!E:E,A93,Entries!B:B,$B$1,Entries!D:D,$E$1,Entries!I:I,"Internal Business Process"))</f>
        <v/>
      </c>
      <c r="G93" t="str">
        <f>IF(A93="","",SUMIFS(Entries!P:P,Entries!E:E,A93,Entries!B:B,$B$1,Entries!D:D,$E$1,Entries!I:I,"People and Culture"))</f>
        <v/>
      </c>
      <c r="H93" t="str">
        <f>IF(A93="","",SUMIFS(Entries!P:P,Entries!E:E,A93,Entries!B:B,$B$1,Entries!D:D,$E$1,Entries!I:I,"ESG and Sustainability"))</f>
        <v/>
      </c>
      <c r="I93" t="str">
        <f>IF(A93="","",SUMIFS(Entries!P:P,Entries!E:E,A93,Entries!B:B,$B$1,Entries!D:D,$E$1,Entries!I:I,"Learning and Innovation"))</f>
        <v/>
      </c>
    </row>
    <row r="94" spans="2:9" x14ac:dyDescent="0.35">
      <c r="B94" t="str">
        <f>IF(A94="","",SUMIFS(Entries!P:P,Entries!E:E,A94,Entries!B:B,$B$1,Entries!D:D,$E$1))</f>
        <v/>
      </c>
      <c r="C94" t="str">
        <f t="shared" si="2"/>
        <v/>
      </c>
      <c r="D94" t="str">
        <f>IF(A94="","",SUMIFS(Entries!P:P,Entries!E:E,A94,Entries!B:B,$B$1,Entries!D:D,$E$1,Entries!I:I,"Customers/Stakeholders"))</f>
        <v/>
      </c>
      <c r="E94" t="str">
        <f>IF(A94="","",SUMIFS(Entries!P:P,Entries!E:E,A94,Entries!B:B,$B$1,Entries!D:D,$E$1,Entries!I:I,"Financial"))</f>
        <v/>
      </c>
      <c r="F94" t="str">
        <f>IF(A94="","",SUMIFS(Entries!P:P,Entries!E:E,A94,Entries!B:B,$B$1,Entries!D:D,$E$1,Entries!I:I,"Internal Business Process"))</f>
        <v/>
      </c>
      <c r="G94" t="str">
        <f>IF(A94="","",SUMIFS(Entries!P:P,Entries!E:E,A94,Entries!B:B,$B$1,Entries!D:D,$E$1,Entries!I:I,"People and Culture"))</f>
        <v/>
      </c>
      <c r="H94" t="str">
        <f>IF(A94="","",SUMIFS(Entries!P:P,Entries!E:E,A94,Entries!B:B,$B$1,Entries!D:D,$E$1,Entries!I:I,"ESG and Sustainability"))</f>
        <v/>
      </c>
      <c r="I94" t="str">
        <f>IF(A94="","",SUMIFS(Entries!P:P,Entries!E:E,A94,Entries!B:B,$B$1,Entries!D:D,$E$1,Entries!I:I,"Learning and Innovation"))</f>
        <v/>
      </c>
    </row>
    <row r="95" spans="2:9" x14ac:dyDescent="0.35">
      <c r="B95" t="str">
        <f>IF(A95="","",SUMIFS(Entries!P:P,Entries!E:E,A95,Entries!B:B,$B$1,Entries!D:D,$E$1))</f>
        <v/>
      </c>
      <c r="C95" t="str">
        <f t="shared" si="2"/>
        <v/>
      </c>
      <c r="D95" t="str">
        <f>IF(A95="","",SUMIFS(Entries!P:P,Entries!E:E,A95,Entries!B:B,$B$1,Entries!D:D,$E$1,Entries!I:I,"Customers/Stakeholders"))</f>
        <v/>
      </c>
      <c r="E95" t="str">
        <f>IF(A95="","",SUMIFS(Entries!P:P,Entries!E:E,A95,Entries!B:B,$B$1,Entries!D:D,$E$1,Entries!I:I,"Financial"))</f>
        <v/>
      </c>
      <c r="F95" t="str">
        <f>IF(A95="","",SUMIFS(Entries!P:P,Entries!E:E,A95,Entries!B:B,$B$1,Entries!D:D,$E$1,Entries!I:I,"Internal Business Process"))</f>
        <v/>
      </c>
      <c r="G95" t="str">
        <f>IF(A95="","",SUMIFS(Entries!P:P,Entries!E:E,A95,Entries!B:B,$B$1,Entries!D:D,$E$1,Entries!I:I,"People and Culture"))</f>
        <v/>
      </c>
      <c r="H95" t="str">
        <f>IF(A95="","",SUMIFS(Entries!P:P,Entries!E:E,A95,Entries!B:B,$B$1,Entries!D:D,$E$1,Entries!I:I,"ESG and Sustainability"))</f>
        <v/>
      </c>
      <c r="I95" t="str">
        <f>IF(A95="","",SUMIFS(Entries!P:P,Entries!E:E,A95,Entries!B:B,$B$1,Entries!D:D,$E$1,Entries!I:I,"Learning and Innovation"))</f>
        <v/>
      </c>
    </row>
    <row r="96" spans="2:9" x14ac:dyDescent="0.35">
      <c r="B96" t="str">
        <f>IF(A96="","",SUMIFS(Entries!P:P,Entries!E:E,A96,Entries!B:B,$B$1,Entries!D:D,$E$1))</f>
        <v/>
      </c>
      <c r="C96" t="str">
        <f t="shared" si="2"/>
        <v/>
      </c>
      <c r="D96" t="str">
        <f>IF(A96="","",SUMIFS(Entries!P:P,Entries!E:E,A96,Entries!B:B,$B$1,Entries!D:D,$E$1,Entries!I:I,"Customers/Stakeholders"))</f>
        <v/>
      </c>
      <c r="E96" t="str">
        <f>IF(A96="","",SUMIFS(Entries!P:P,Entries!E:E,A96,Entries!B:B,$B$1,Entries!D:D,$E$1,Entries!I:I,"Financial"))</f>
        <v/>
      </c>
      <c r="F96" t="str">
        <f>IF(A96="","",SUMIFS(Entries!P:P,Entries!E:E,A96,Entries!B:B,$B$1,Entries!D:D,$E$1,Entries!I:I,"Internal Business Process"))</f>
        <v/>
      </c>
      <c r="G96" t="str">
        <f>IF(A96="","",SUMIFS(Entries!P:P,Entries!E:E,A96,Entries!B:B,$B$1,Entries!D:D,$E$1,Entries!I:I,"People and Culture"))</f>
        <v/>
      </c>
      <c r="H96" t="str">
        <f>IF(A96="","",SUMIFS(Entries!P:P,Entries!E:E,A96,Entries!B:B,$B$1,Entries!D:D,$E$1,Entries!I:I,"ESG and Sustainability"))</f>
        <v/>
      </c>
      <c r="I96" t="str">
        <f>IF(A96="","",SUMIFS(Entries!P:P,Entries!E:E,A96,Entries!B:B,$B$1,Entries!D:D,$E$1,Entries!I:I,"Learning and Innovation"))</f>
        <v/>
      </c>
    </row>
    <row r="97" spans="2:9" x14ac:dyDescent="0.35">
      <c r="B97" t="str">
        <f>IF(A97="","",SUMIFS(Entries!P:P,Entries!E:E,A97,Entries!B:B,$B$1,Entries!D:D,$E$1))</f>
        <v/>
      </c>
      <c r="C97" t="str">
        <f t="shared" si="2"/>
        <v/>
      </c>
      <c r="D97" t="str">
        <f>IF(A97="","",SUMIFS(Entries!P:P,Entries!E:E,A97,Entries!B:B,$B$1,Entries!D:D,$E$1,Entries!I:I,"Customers/Stakeholders"))</f>
        <v/>
      </c>
      <c r="E97" t="str">
        <f>IF(A97="","",SUMIFS(Entries!P:P,Entries!E:E,A97,Entries!B:B,$B$1,Entries!D:D,$E$1,Entries!I:I,"Financial"))</f>
        <v/>
      </c>
      <c r="F97" t="str">
        <f>IF(A97="","",SUMIFS(Entries!P:P,Entries!E:E,A97,Entries!B:B,$B$1,Entries!D:D,$E$1,Entries!I:I,"Internal Business Process"))</f>
        <v/>
      </c>
      <c r="G97" t="str">
        <f>IF(A97="","",SUMIFS(Entries!P:P,Entries!E:E,A97,Entries!B:B,$B$1,Entries!D:D,$E$1,Entries!I:I,"People and Culture"))</f>
        <v/>
      </c>
      <c r="H97" t="str">
        <f>IF(A97="","",SUMIFS(Entries!P:P,Entries!E:E,A97,Entries!B:B,$B$1,Entries!D:D,$E$1,Entries!I:I,"ESG and Sustainability"))</f>
        <v/>
      </c>
      <c r="I97" t="str">
        <f>IF(A97="","",SUMIFS(Entries!P:P,Entries!E:E,A97,Entries!B:B,$B$1,Entries!D:D,$E$1,Entries!I:I,"Learning and Innovation"))</f>
        <v/>
      </c>
    </row>
    <row r="98" spans="2:9" x14ac:dyDescent="0.35">
      <c r="B98" t="str">
        <f>IF(A98="","",SUMIFS(Entries!P:P,Entries!E:E,A98,Entries!B:B,$B$1,Entries!D:D,$E$1))</f>
        <v/>
      </c>
      <c r="C98" t="str">
        <f t="shared" si="2"/>
        <v/>
      </c>
      <c r="D98" t="str">
        <f>IF(A98="","",SUMIFS(Entries!P:P,Entries!E:E,A98,Entries!B:B,$B$1,Entries!D:D,$E$1,Entries!I:I,"Customers/Stakeholders"))</f>
        <v/>
      </c>
      <c r="E98" t="str">
        <f>IF(A98="","",SUMIFS(Entries!P:P,Entries!E:E,A98,Entries!B:B,$B$1,Entries!D:D,$E$1,Entries!I:I,"Financial"))</f>
        <v/>
      </c>
      <c r="F98" t="str">
        <f>IF(A98="","",SUMIFS(Entries!P:P,Entries!E:E,A98,Entries!B:B,$B$1,Entries!D:D,$E$1,Entries!I:I,"Internal Business Process"))</f>
        <v/>
      </c>
      <c r="G98" t="str">
        <f>IF(A98="","",SUMIFS(Entries!P:P,Entries!E:E,A98,Entries!B:B,$B$1,Entries!D:D,$E$1,Entries!I:I,"People and Culture"))</f>
        <v/>
      </c>
      <c r="H98" t="str">
        <f>IF(A98="","",SUMIFS(Entries!P:P,Entries!E:E,A98,Entries!B:B,$B$1,Entries!D:D,$E$1,Entries!I:I,"ESG and Sustainability"))</f>
        <v/>
      </c>
      <c r="I98" t="str">
        <f>IF(A98="","",SUMIFS(Entries!P:P,Entries!E:E,A98,Entries!B:B,$B$1,Entries!D:D,$E$1,Entries!I:I,"Learning and Innovation"))</f>
        <v/>
      </c>
    </row>
    <row r="99" spans="2:9" x14ac:dyDescent="0.35">
      <c r="B99" t="str">
        <f>IF(A99="","",SUMIFS(Entries!P:P,Entries!E:E,A99,Entries!B:B,$B$1,Entries!D:D,$E$1))</f>
        <v/>
      </c>
      <c r="C99" t="str">
        <f t="shared" ref="C99:C102" si="3">IF(B99="","",IF(B99&gt;=4,"Green",IF(B99&gt;=3,"Amber","Red")))</f>
        <v/>
      </c>
      <c r="D99" t="str">
        <f>IF(A99="","",SUMIFS(Entries!P:P,Entries!E:E,A99,Entries!B:B,$B$1,Entries!D:D,$E$1,Entries!I:I,"Customers/Stakeholders"))</f>
        <v/>
      </c>
      <c r="E99" t="str">
        <f>IF(A99="","",SUMIFS(Entries!P:P,Entries!E:E,A99,Entries!B:B,$B$1,Entries!D:D,$E$1,Entries!I:I,"Financial"))</f>
        <v/>
      </c>
      <c r="F99" t="str">
        <f>IF(A99="","",SUMIFS(Entries!P:P,Entries!E:E,A99,Entries!B:B,$B$1,Entries!D:D,$E$1,Entries!I:I,"Internal Business Process"))</f>
        <v/>
      </c>
      <c r="G99" t="str">
        <f>IF(A99="","",SUMIFS(Entries!P:P,Entries!E:E,A99,Entries!B:B,$B$1,Entries!D:D,$E$1,Entries!I:I,"People and Culture"))</f>
        <v/>
      </c>
      <c r="H99" t="str">
        <f>IF(A99="","",SUMIFS(Entries!P:P,Entries!E:E,A99,Entries!B:B,$B$1,Entries!D:D,$E$1,Entries!I:I,"ESG and Sustainability"))</f>
        <v/>
      </c>
      <c r="I99" t="str">
        <f>IF(A99="","",SUMIFS(Entries!P:P,Entries!E:E,A99,Entries!B:B,$B$1,Entries!D:D,$E$1,Entries!I:I,"Learning and Innovation"))</f>
        <v/>
      </c>
    </row>
    <row r="100" spans="2:9" x14ac:dyDescent="0.35">
      <c r="B100" t="str">
        <f>IF(A100="","",SUMIFS(Entries!P:P,Entries!E:E,A100,Entries!B:B,$B$1,Entries!D:D,$E$1))</f>
        <v/>
      </c>
      <c r="C100" t="str">
        <f t="shared" si="3"/>
        <v/>
      </c>
      <c r="D100" t="str">
        <f>IF(A100="","",SUMIFS(Entries!P:P,Entries!E:E,A100,Entries!B:B,$B$1,Entries!D:D,$E$1,Entries!I:I,"Customers/Stakeholders"))</f>
        <v/>
      </c>
      <c r="E100" t="str">
        <f>IF(A100="","",SUMIFS(Entries!P:P,Entries!E:E,A100,Entries!B:B,$B$1,Entries!D:D,$E$1,Entries!I:I,"Financial"))</f>
        <v/>
      </c>
      <c r="F100" t="str">
        <f>IF(A100="","",SUMIFS(Entries!P:P,Entries!E:E,A100,Entries!B:B,$B$1,Entries!D:D,$E$1,Entries!I:I,"Internal Business Process"))</f>
        <v/>
      </c>
      <c r="G100" t="str">
        <f>IF(A100="","",SUMIFS(Entries!P:P,Entries!E:E,A100,Entries!B:B,$B$1,Entries!D:D,$E$1,Entries!I:I,"People and Culture"))</f>
        <v/>
      </c>
      <c r="H100" t="str">
        <f>IF(A100="","",SUMIFS(Entries!P:P,Entries!E:E,A100,Entries!B:B,$B$1,Entries!D:D,$E$1,Entries!I:I,"ESG and Sustainability"))</f>
        <v/>
      </c>
      <c r="I100" t="str">
        <f>IF(A100="","",SUMIFS(Entries!P:P,Entries!E:E,A100,Entries!B:B,$B$1,Entries!D:D,$E$1,Entries!I:I,"Learning and Innovation"))</f>
        <v/>
      </c>
    </row>
    <row r="101" spans="2:9" x14ac:dyDescent="0.35">
      <c r="B101" t="str">
        <f>IF(A101="","",SUMIFS(Entries!P:P,Entries!E:E,A101,Entries!B:B,$B$1,Entries!D:D,$E$1))</f>
        <v/>
      </c>
      <c r="C101" t="str">
        <f t="shared" si="3"/>
        <v/>
      </c>
      <c r="D101" t="str">
        <f>IF(A101="","",SUMIFS(Entries!P:P,Entries!E:E,A101,Entries!B:B,$B$1,Entries!D:D,$E$1,Entries!I:I,"Customers/Stakeholders"))</f>
        <v/>
      </c>
      <c r="E101" t="str">
        <f>IF(A101="","",SUMIFS(Entries!P:P,Entries!E:E,A101,Entries!B:B,$B$1,Entries!D:D,$E$1,Entries!I:I,"Financial"))</f>
        <v/>
      </c>
      <c r="F101" t="str">
        <f>IF(A101="","",SUMIFS(Entries!P:P,Entries!E:E,A101,Entries!B:B,$B$1,Entries!D:D,$E$1,Entries!I:I,"Internal Business Process"))</f>
        <v/>
      </c>
      <c r="G101" t="str">
        <f>IF(A101="","",SUMIFS(Entries!P:P,Entries!E:E,A101,Entries!B:B,$B$1,Entries!D:D,$E$1,Entries!I:I,"People and Culture"))</f>
        <v/>
      </c>
      <c r="H101" t="str">
        <f>IF(A101="","",SUMIFS(Entries!P:P,Entries!E:E,A101,Entries!B:B,$B$1,Entries!D:D,$E$1,Entries!I:I,"ESG and Sustainability"))</f>
        <v/>
      </c>
      <c r="I101" t="str">
        <f>IF(A101="","",SUMIFS(Entries!P:P,Entries!E:E,A101,Entries!B:B,$B$1,Entries!D:D,$E$1,Entries!I:I,"Learning and Innovation"))</f>
        <v/>
      </c>
    </row>
    <row r="102" spans="2:9" x14ac:dyDescent="0.35">
      <c r="B102" t="str">
        <f>IF(A102="","",SUMIFS(Entries!P:P,Entries!E:E,A102,Entries!B:B,$B$1,Entries!D:D,$E$1))</f>
        <v/>
      </c>
      <c r="C102" t="str">
        <f t="shared" si="3"/>
        <v/>
      </c>
      <c r="D102" t="str">
        <f>IF(A102="","",SUMIFS(Entries!P:P,Entries!E:E,A102,Entries!B:B,$B$1,Entries!D:D,$E$1,Entries!I:I,"Customers/Stakeholders"))</f>
        <v/>
      </c>
      <c r="E102" t="str">
        <f>IF(A102="","",SUMIFS(Entries!P:P,Entries!E:E,A102,Entries!B:B,$B$1,Entries!D:D,$E$1,Entries!I:I,"Financial"))</f>
        <v/>
      </c>
      <c r="F102" t="str">
        <f>IF(A102="","",SUMIFS(Entries!P:P,Entries!E:E,A102,Entries!B:B,$B$1,Entries!D:D,$E$1,Entries!I:I,"Internal Business Process"))</f>
        <v/>
      </c>
      <c r="G102" t="str">
        <f>IF(A102="","",SUMIFS(Entries!P:P,Entries!E:E,A102,Entries!B:B,$B$1,Entries!D:D,$E$1,Entries!I:I,"People and Culture"))</f>
        <v/>
      </c>
      <c r="H102" t="str">
        <f>IF(A102="","",SUMIFS(Entries!P:P,Entries!E:E,A102,Entries!B:B,$B$1,Entries!D:D,$E$1,Entries!I:I,"ESG and Sustainability"))</f>
        <v/>
      </c>
      <c r="I102" t="str">
        <f>IF(A102="","",SUMIFS(Entries!P:P,Entries!E:E,A102,Entries!B:B,$B$1,Entries!D:D,$E$1,Entries!I:I,"Learning and Innovation"))</f>
        <v/>
      </c>
    </row>
  </sheetData>
  <conditionalFormatting sqref="B3:B102">
    <cfRule type="cellIs" dxfId="2" priority="1" operator="lessThan">
      <formula>3</formula>
    </cfRule>
    <cfRule type="cellIs" dxfId="1" priority="2" operator="between">
      <formula>3</formula>
      <formula>3.9999</formula>
    </cfRule>
    <cfRule type="cellIs" dxfId="0" priority="3" operator="greaterThanOrEqual">
      <formula>4</formula>
    </cfRule>
  </conditionalFormatting>
  <pageMargins left="0.75" right="0.75" top="1" bottom="1" header="0.5" footer="0.5"/>
  <extLst>
    <ext xmlns:x14="http://schemas.microsoft.com/office/spreadsheetml/2009/9/main" uri="{CCE6A557-97BC-4b89-ADB6-D9C93CAAB3DF}">
      <x14:dataValidations xmlns:xm="http://schemas.microsoft.com/office/excel/2006/main" count="2">
        <x14:dataValidation type="list" xr:uid="{00000000-0002-0000-0300-000000000000}">
          <x14:formula1>
            <xm:f>Lists!$C$2:$C$100</xm:f>
          </x14:formula1>
          <xm:sqref>B1</xm:sqref>
        </x14:dataValidation>
        <x14:dataValidation type="list" xr:uid="{00000000-0002-0000-0300-000001000000}">
          <x14:formula1>
            <xm:f>Lists!$B$2:$B$100</xm:f>
          </x14:formula1>
          <xm:sqref>E1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
  <sheetViews>
    <sheetView topLeftCell="A10" workbookViewId="0"/>
  </sheetViews>
  <sheetFormatPr defaultRowHeight="14.5" x14ac:dyDescent="0.35"/>
  <cols>
    <col min="1" max="1" width="34" customWidth="1"/>
    <col min="2" max="2" width="14" customWidth="1"/>
    <col min="4" max="4" width="26" customWidth="1"/>
    <col min="5" max="5" width="22" customWidth="1"/>
  </cols>
  <sheetData>
    <row r="1" spans="1:5" ht="21" x14ac:dyDescent="0.5">
      <c r="A1" s="5" t="s">
        <v>92</v>
      </c>
    </row>
    <row r="3" spans="1:5" x14ac:dyDescent="0.35">
      <c r="A3" s="4" t="s">
        <v>93</v>
      </c>
      <c r="B3" t="str">
        <f>Summary!B1</f>
        <v>2026-04-01</v>
      </c>
      <c r="D3" s="4" t="s">
        <v>94</v>
      </c>
      <c r="E3" t="str">
        <f>Summary!E1</f>
        <v>Internal Audit</v>
      </c>
    </row>
    <row r="5" spans="1:5" x14ac:dyDescent="0.35">
      <c r="A5" s="4" t="s">
        <v>95</v>
      </c>
    </row>
    <row r="6" spans="1:5" x14ac:dyDescent="0.35">
      <c r="A6" s="4" t="s">
        <v>74</v>
      </c>
      <c r="B6" s="4" t="s">
        <v>79</v>
      </c>
    </row>
    <row r="7" spans="1:5" x14ac:dyDescent="0.35">
      <c r="A7">
        <f>IFERROR(INDEX(_xlfn.SORTBY(Summary!A3:A102, Summary!B3:B102, -1), 1), "")</f>
        <v>0</v>
      </c>
      <c r="B7">
        <f>IF(A7="","",SUMIFS(Summary!B3:B102,Summary!A3:A102,A7))</f>
        <v>0</v>
      </c>
    </row>
    <row r="8" spans="1:5" x14ac:dyDescent="0.35">
      <c r="A8">
        <f>IFERROR(INDEX(_xlfn.SORTBY(Summary!A3:A102, Summary!B3:B102, -1), 2), "")</f>
        <v>0</v>
      </c>
      <c r="B8">
        <f>IF(A8="","",SUMIFS(Summary!B3:B102,Summary!A3:A102,A8))</f>
        <v>0</v>
      </c>
    </row>
    <row r="9" spans="1:5" x14ac:dyDescent="0.35">
      <c r="A9">
        <f>IFERROR(INDEX(_xlfn.SORTBY(Summary!A3:A102, Summary!B3:B102, -1), 3), "")</f>
        <v>0</v>
      </c>
      <c r="B9">
        <f>IF(A9="","",SUMIFS(Summary!B3:B102,Summary!A3:A102,A9))</f>
        <v>0</v>
      </c>
    </row>
    <row r="10" spans="1:5" x14ac:dyDescent="0.35">
      <c r="A10">
        <f>IFERROR(INDEX(_xlfn.SORTBY(Summary!A3:A102, Summary!B3:B102, -1), 4), "")</f>
        <v>0</v>
      </c>
      <c r="B10">
        <f>IF(A10="","",SUMIFS(Summary!B3:B102,Summary!A3:A102,A10))</f>
        <v>0</v>
      </c>
    </row>
    <row r="11" spans="1:5" x14ac:dyDescent="0.35">
      <c r="A11">
        <f>IFERROR(INDEX(_xlfn.SORTBY(Summary!A3:A102, Summary!B3:B102, -1), 5), "")</f>
        <v>0</v>
      </c>
      <c r="B11">
        <f>IF(A11="","",SUMIFS(Summary!B3:B102,Summary!A3:A102,A11))</f>
        <v>0</v>
      </c>
    </row>
    <row r="12" spans="1:5" x14ac:dyDescent="0.35">
      <c r="A12">
        <f>IFERROR(INDEX(_xlfn.SORTBY(Summary!A3:A102, Summary!B3:B102, -1), 6), "")</f>
        <v>0</v>
      </c>
      <c r="B12">
        <f>IF(A12="","",SUMIFS(Summary!B3:B102,Summary!A3:A102,A12))</f>
        <v>0</v>
      </c>
    </row>
    <row r="13" spans="1:5" x14ac:dyDescent="0.35">
      <c r="A13">
        <f>IFERROR(INDEX(_xlfn.SORTBY(Summary!A3:A102, Summary!B3:B102, -1), 7), "")</f>
        <v>0</v>
      </c>
      <c r="B13">
        <f>IF(A13="","",SUMIFS(Summary!B3:B102,Summary!A3:A102,A13))</f>
        <v>0</v>
      </c>
    </row>
    <row r="14" spans="1:5" x14ac:dyDescent="0.35">
      <c r="A14">
        <f>IFERROR(INDEX(_xlfn.SORTBY(Summary!A3:A102, Summary!B3:B102, -1), 8), "")</f>
        <v>0</v>
      </c>
      <c r="B14">
        <f>IF(A14="","",SUMIFS(Summary!B3:B102,Summary!A3:A102,A14))</f>
        <v>0</v>
      </c>
    </row>
    <row r="15" spans="1:5" x14ac:dyDescent="0.35">
      <c r="A15">
        <f>IFERROR(INDEX(_xlfn.SORTBY(Summary!A3:A102, Summary!B3:B102, -1), 9), "")</f>
        <v>0</v>
      </c>
      <c r="B15">
        <f>IF(A15="","",SUMIFS(Summary!B3:B102,Summary!A3:A102,A15))</f>
        <v>0</v>
      </c>
    </row>
    <row r="16" spans="1:5" x14ac:dyDescent="0.35">
      <c r="A16">
        <f>IFERROR(INDEX(_xlfn.SORTBY(Summary!A3:A102, Summary!B3:B102, -1), 10), "")</f>
        <v>0</v>
      </c>
      <c r="B16">
        <f>IF(A16="","",SUMIFS(Summary!B3:B102,Summary!A3:A102,A16))</f>
        <v>0</v>
      </c>
    </row>
    <row r="19" spans="1:2" x14ac:dyDescent="0.35">
      <c r="A19" s="4" t="s">
        <v>96</v>
      </c>
    </row>
    <row r="20" spans="1:2" x14ac:dyDescent="0.35">
      <c r="A20" s="4" t="s">
        <v>71</v>
      </c>
      <c r="B20" s="4" t="s">
        <v>97</v>
      </c>
    </row>
    <row r="21" spans="1:2" x14ac:dyDescent="0.35">
      <c r="A21" t="s">
        <v>7</v>
      </c>
      <c r="B21">
        <f>IFERROR(AVERAGEIFS(Entries!P:P,Entries!B:B,$A21,Entries!D:D,$E$3),"")</f>
        <v>6.25E-2</v>
      </c>
    </row>
    <row r="22" spans="1:2" x14ac:dyDescent="0.35">
      <c r="A22" t="s">
        <v>10</v>
      </c>
      <c r="B22" t="str">
        <f>IFERROR(AVERAGEIFS(Entries!P:P,Entries!B:B,$A22,Entries!D:D,$E$3),"")</f>
        <v/>
      </c>
    </row>
    <row r="23" spans="1:2" x14ac:dyDescent="0.35">
      <c r="A23" t="s">
        <v>12</v>
      </c>
      <c r="B23" t="str">
        <f>IFERROR(AVERAGEIFS(Entries!P:P,Entries!B:B,$A23,Entries!D:D,$E$3),"")</f>
        <v/>
      </c>
    </row>
    <row r="24" spans="1:2" x14ac:dyDescent="0.35">
      <c r="A24" t="s">
        <v>13</v>
      </c>
      <c r="B24" t="str">
        <f>IFERROR(AVERAGEIFS(Entries!P:P,Entries!B:B,$A24,Entries!D:D,$E$3),"")</f>
        <v/>
      </c>
    </row>
    <row r="25" spans="1:2" x14ac:dyDescent="0.35">
      <c r="A25" t="s">
        <v>14</v>
      </c>
      <c r="B25" t="str">
        <f>IFERROR(AVERAGEIFS(Entries!P:P,Entries!B:B,$A25,Entries!D:D,$E$3),"")</f>
        <v/>
      </c>
    </row>
    <row r="26" spans="1:2" x14ac:dyDescent="0.35">
      <c r="A26" t="s">
        <v>15</v>
      </c>
      <c r="B26" t="str">
        <f>IFERROR(AVERAGEIFS(Entries!P:P,Entries!B:B,$A26,Entries!D:D,$E$3),"")</f>
        <v/>
      </c>
    </row>
    <row r="27" spans="1:2" x14ac:dyDescent="0.35">
      <c r="A27" t="s">
        <v>16</v>
      </c>
      <c r="B27" t="str">
        <f>IFERROR(AVERAGEIFS(Entries!P:P,Entries!B:B,$A27,Entries!D:D,$E$3),"")</f>
        <v/>
      </c>
    </row>
    <row r="28" spans="1:2" x14ac:dyDescent="0.35">
      <c r="A28" t="s">
        <v>17</v>
      </c>
      <c r="B28" t="str">
        <f>IFERROR(AVERAGEIFS(Entries!P:P,Entries!B:B,$A28,Entries!D:D,$E$3),"")</f>
        <v/>
      </c>
    </row>
    <row r="29" spans="1:2" x14ac:dyDescent="0.35">
      <c r="A29" t="s">
        <v>18</v>
      </c>
      <c r="B29" t="str">
        <f>IFERROR(AVERAGEIFS(Entries!P:P,Entries!B:B,$A29,Entries!D:D,$E$3),"")</f>
        <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topLeftCell="A6" workbookViewId="0"/>
  </sheetViews>
  <sheetFormatPr defaultRowHeight="14.5" x14ac:dyDescent="0.35"/>
  <cols>
    <col min="1" max="1" width="120" customWidth="1"/>
  </cols>
  <sheetData>
    <row r="1" spans="1:1" ht="18.5" x14ac:dyDescent="0.45">
      <c r="A1" s="6" t="s">
        <v>98</v>
      </c>
    </row>
    <row r="3" spans="1:1" x14ac:dyDescent="0.35">
      <c r="A3" s="3" t="s">
        <v>99</v>
      </c>
    </row>
    <row r="4" spans="1:1" x14ac:dyDescent="0.35">
      <c r="A4" s="3" t="s">
        <v>100</v>
      </c>
    </row>
    <row r="5" spans="1:1" x14ac:dyDescent="0.35">
      <c r="A5" s="3" t="s">
        <v>101</v>
      </c>
    </row>
    <row r="6" spans="1:1" x14ac:dyDescent="0.35">
      <c r="A6" s="3" t="s">
        <v>102</v>
      </c>
    </row>
    <row r="7" spans="1:1" x14ac:dyDescent="0.35">
      <c r="A7" s="3" t="s">
        <v>103</v>
      </c>
    </row>
    <row r="8" spans="1:1" x14ac:dyDescent="0.35">
      <c r="A8" s="3" t="s">
        <v>104</v>
      </c>
    </row>
    <row r="9" spans="1:1" x14ac:dyDescent="0.35">
      <c r="A9" s="3" t="s">
        <v>105</v>
      </c>
    </row>
    <row r="10" spans="1:1" x14ac:dyDescent="0.35">
      <c r="A10" s="3" t="s">
        <v>106</v>
      </c>
    </row>
    <row r="11" spans="1:1" ht="29" x14ac:dyDescent="0.35">
      <c r="A11" s="3"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Lists</vt:lpstr>
      <vt:lpstr>KPI_Definitions</vt:lpstr>
      <vt:lpstr>Employees</vt:lpstr>
      <vt:lpstr>Entries</vt:lpstr>
      <vt:lpstr>Summary</vt:lpstr>
      <vt:lpstr>Dashboard</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Michael Onyoin</cp:lastModifiedBy>
  <cp:revision/>
  <dcterms:created xsi:type="dcterms:W3CDTF">2026-05-16T10:36:38Z</dcterms:created>
  <dcterms:modified xsi:type="dcterms:W3CDTF">2026-09-15T07:15:38Z</dcterms:modified>
  <cp:category/>
  <cp:contentStatus/>
</cp:coreProperties>
</file>